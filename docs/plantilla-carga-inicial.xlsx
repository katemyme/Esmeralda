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9.xml" ContentType="application/vnd.openxmlformats-officedocument.spreadsheetml.comment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tyles.xml" ContentType="application/vnd.openxmlformats-officedocument.spreadsheetml.style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Categorias" sheetId="2" state="visible" r:id="rId4"/>
    <sheet name="Gamas" sheetId="3" state="visible" r:id="rId5"/>
    <sheet name="Perforaciones" sheetId="4" state="visible" r:id="rId6"/>
    <sheet name="PreciosPaquete" sheetId="5" state="visible" r:id="rId7"/>
    <sheet name="PreciosEspeciales" sheetId="6" state="visible" r:id="rId8"/>
    <sheet name="Productos" sheetId="7" state="visible" r:id="rId9"/>
    <sheet name="InventarioInicial" sheetId="8" state="visible" r:id="rId10"/>
    <sheet name="Proveedores" sheetId="9" state="visible" r:id="rId11"/>
    <sheet name="Usuarios" sheetId="10" state="visible" r:id="rId12"/>
    <sheet name="Promociones" sheetId="11" state="visible" r:id="rId13"/>
    <sheet name="Revision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Lista de categorías. Las de abajo ya existen en el sistema; puede agregar más.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Fila de EJEMPLO: sobrescríbala con un dato real o bórrela.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Las columnas grises vienen de la hoja Perforaciones. Llene solo las amarillas.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Fila de EJEMPLO: sobrescríbala con un dato real o bórrela.</t>
        </r>
      </text>
    </comment>
    <comment ref="B1" authorId="0">
      <text>
        <r>
          <rPr>
            <sz val="10"/>
            <rFont val="Arial"/>
            <family val="2"/>
          </rPr>
          <t xml:space="preserve">Llene SKU o Gama, no ambos.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Fila de EJEMPLO: sobrescríbala con un dato real o bórrela.</t>
        </r>
      </text>
    </comment>
    <comment ref="N1" authorId="0">
      <text>
        <r>
          <rPr>
            <sz val="10"/>
            <rFont val="Arial"/>
            <family val="2"/>
          </rPr>
          <t xml:space="preserve">Margen = (precio − costo) / precio. En rojo si es menor a 40 % (alerta del sistema).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Fila de EJEMPLO: sobrescríbala con un dato real o bórrela.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Fila de EJEMPLO: sobrescríbala con un dato real o bórrela.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Fila de EJEMPLO: sobrescríbala con un dato real o bórrela.</t>
        </r>
      </text>
    </comment>
    <comment ref="B1" authorId="0">
      <text>
        <r>
          <rPr>
            <sz val="10"/>
            <rFont val="Arial"/>
            <family val="2"/>
          </rPr>
          <t xml:space="preserve">Con este usuario inicia sesión. La contraseña temporal la da el sistema y se cambia en el primer ingreso. No escriba contraseñas aquí.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Fila de EJEMPLO: sobrescríbala con un dato real o bórrela.</t>
        </r>
      </text>
    </comment>
  </commentList>
</comments>
</file>

<file path=xl/sharedStrings.xml><?xml version="1.0" encoding="utf-8"?>
<sst xmlns="http://schemas.openxmlformats.org/spreadsheetml/2006/main" count="175" uniqueCount="157">
  <si>
    <t xml:space="preserve">Sistema Esmeralda — Plantilla de carga inicial</t>
  </si>
  <si>
    <t xml:space="preserve">Con estos datos se carga el sistema antes de empezar a usarlo. Todos los montos en córdobas (C$).</t>
  </si>
  <si>
    <t xml:space="preserve">Leyenda</t>
  </si>
  <si>
    <t xml:space="preserve">Celda para llenar</t>
  </si>
  <si>
    <t xml:space="preserve">Se calcula sola (no escribir)</t>
  </si>
  <si>
    <t xml:space="preserve">Ejemplo</t>
  </si>
  <si>
    <t xml:space="preserve">Texto gris en cursiva = fila de ejemplo (fila 2 de cada hoja): sobrescríbala o bórrela</t>
  </si>
  <si>
    <t xml:space="preserve">Orden sugerido</t>
  </si>
  <si>
    <t xml:space="preserve">1. Categorias</t>
  </si>
  <si>
    <t xml:space="preserve">Revise la lista. Ya trae las categorías del negocio; puede agregar o cambiar nombres.</t>
  </si>
  <si>
    <t xml:space="preserve">2. Gamas</t>
  </si>
  <si>
    <t xml:space="preserve">Solo lectura. Acero clásica y Acero de lujo usan tabla de precios; Titanio cobra servicio + pieza.</t>
  </si>
  <si>
    <t xml:space="preserve">3. Perforaciones</t>
  </si>
  <si>
    <t xml:space="preserve">Una fila por tipo de perforación: código corto (2 a 6 letras, ej. HLX), nombre, precio de SOLO servicio, cuántas piezas lleva el paquete y qué gamas acepta.</t>
  </si>
  <si>
    <t xml:space="preserve">4. PreciosPaquete</t>
  </si>
  <si>
    <t xml:space="preserve">Se llena sola con sus perforaciones. Escriba el precio del paquete CON pieza de acero clásica y de lujo. Titanio no lleva precio aquí.</t>
  </si>
  <si>
    <t xml:space="preserve">5. PreciosEspeciales</t>
  </si>
  <si>
    <t xml:space="preserve">Opcional. Excepciones: un precio de paquete distinto para una pieza o gama concreta.</t>
  </si>
  <si>
    <t xml:space="preserve">6. Productos</t>
  </si>
  <si>
    <t xml:space="preserve">Una fila por pieza o artículo que se vende (cada medida es una fila). SKU único. Gama solo para piezas de perforación.</t>
  </si>
  <si>
    <t xml:space="preserve">7. InventarioInicial</t>
  </si>
  <si>
    <t xml:space="preserve">Cantidades que hay hoy en bodega y en cada sucursal, por SKU.</t>
  </si>
  <si>
    <t xml:space="preserve">8. Proveedores</t>
  </si>
  <si>
    <t xml:space="preserve">A quién le compran y en qué moneda.</t>
  </si>
  <si>
    <t xml:space="preserve">9. Usuarios</t>
  </si>
  <si>
    <t xml:space="preserve">Personas que usarán el sistema, con su rol y sucursal.</t>
  </si>
  <si>
    <t xml:space="preserve">10. Promociones</t>
  </si>
  <si>
    <t xml:space="preserve">Opcional. Promociones que quiera dejar creadas (inactivas o activas).</t>
  </si>
  <si>
    <t xml:space="preserve">11. Revision</t>
  </si>
  <si>
    <t xml:space="preserve">Revise que todo diga OK antes de enviar el archivo.</t>
  </si>
  <si>
    <t xml:space="preserve">Reglas importantes</t>
  </si>
  <si>
    <t xml:space="preserve">• El SKU identifica cada pieza y no se puede repetir. Sugerencia: MATERIAL-TIPO-CALIBRE-MEDIDA, ej. TIT-LAB-16-6.</t>
  </si>
  <si>
    <t xml:space="preserve">• Cada medida, color o diseño distinto es una fila distinta (labret 6 mm y labret 8 mm son dos SKU).</t>
  </si>
  <si>
    <t xml:space="preserve">• Código de barras: solo si la pieza ya trae uno del fabricante. Si no, déjelo vacío: el sistema imprime etiquetas QR.</t>
  </si>
  <si>
    <t xml:space="preserve">• Gama: solo para piezas que se usan en perforaciones. Perfumería, joyería de plata, NeilMed, etc. van sin gama.</t>
  </si>
  <si>
    <t xml:space="preserve">• Costo unitario: lo que le cuesta hoy cada pieza en C$ (con envío e impuestos si los conoce). Si no lo sabe, déjelo vacío.</t>
  </si>
  <si>
    <t xml:space="preserve">• El precio de venta es el precio establecido. En la venta se podrá cobrar más, nunca menos.</t>
  </si>
  <si>
    <t xml:space="preserve">• El paquete de titanio no lleva precio en la tabla: el sistema cobra el precio de solo servicio + el precio de la pieza.</t>
  </si>
  <si>
    <t xml:space="preserve">Categoría</t>
  </si>
  <si>
    <t xml:space="preserve">Descripción (opcional)</t>
  </si>
  <si>
    <t xml:space="preserve">Perforaciones</t>
  </si>
  <si>
    <t xml:space="preserve">Piercing titanio</t>
  </si>
  <si>
    <t xml:space="preserve">Piercing acero</t>
  </si>
  <si>
    <t xml:space="preserve">Piercing bioflex</t>
  </si>
  <si>
    <t xml:space="preserve">Cuidado posterior</t>
  </si>
  <si>
    <t xml:space="preserve">Joyería plata 925</t>
  </si>
  <si>
    <t xml:space="preserve">Joyería xuping</t>
  </si>
  <si>
    <t xml:space="preserve">Joyería estilo Dubái</t>
  </si>
  <si>
    <t xml:space="preserve">Accesorios dama</t>
  </si>
  <si>
    <t xml:space="preserve">Accesorios caballero</t>
  </si>
  <si>
    <t xml:space="preserve">Perfumería</t>
  </si>
  <si>
    <t xml:space="preserve">Gama</t>
  </si>
  <si>
    <t xml:space="preserve">Cómo se cobra el paquete</t>
  </si>
  <si>
    <t xml:space="preserve">Acero clásica</t>
  </si>
  <si>
    <t xml:space="preserve">Precio fijo por perforación (tabla)</t>
  </si>
  <si>
    <t xml:space="preserve">Hélix con pieza clásica = precio de la tabla</t>
  </si>
  <si>
    <t xml:space="preserve">Acero de lujo</t>
  </si>
  <si>
    <t xml:space="preserve">Hélix con pieza de lujo = precio de la tabla</t>
  </si>
  <si>
    <t xml:space="preserve">Titanio</t>
  </si>
  <si>
    <t xml:space="preserve">Precio de solo servicio + precio de la pieza</t>
  </si>
  <si>
    <t xml:space="preserve">Hélix (350) + labret de titanio (650) = 1,000</t>
  </si>
  <si>
    <t xml:space="preserve">Código *
(2 a 6 letras)</t>
  </si>
  <si>
    <t xml:space="preserve">Nombre *</t>
  </si>
  <si>
    <t xml:space="preserve">Precio SOLO servicio (C$) *</t>
  </si>
  <si>
    <t xml:space="preserve">Piezas por paquete *</t>
  </si>
  <si>
    <t xml:space="preserve">¿Acepta Acero clásica?</t>
  </si>
  <si>
    <t xml:space="preserve">¿Acepta Acero de lujo?</t>
  </si>
  <si>
    <t xml:space="preserve">¿Acepta Titanio?</t>
  </si>
  <si>
    <t xml:space="preserve">Notas</t>
  </si>
  <si>
    <t xml:space="preserve">HLX</t>
  </si>
  <si>
    <t xml:space="preserve">Hélix</t>
  </si>
  <si>
    <t xml:space="preserve">Sí</t>
  </si>
  <si>
    <t xml:space="preserve">Ejemplo: hélix</t>
  </si>
  <si>
    <t xml:space="preserve">Código</t>
  </si>
  <si>
    <t xml:space="preserve">Perforación</t>
  </si>
  <si>
    <t xml:space="preserve">Solo servicio (C$)</t>
  </si>
  <si>
    <t xml:space="preserve">Con pieza ACERO CLÁSICA (C$)</t>
  </si>
  <si>
    <t xml:space="preserve">Con pieza ACERO DE LUJO (C$)</t>
  </si>
  <si>
    <t xml:space="preserve">Con pieza TITANIO</t>
  </si>
  <si>
    <t xml:space="preserve">Estado</t>
  </si>
  <si>
    <t xml:space="preserve">Perforación (código) *</t>
  </si>
  <si>
    <t xml:space="preserve">SKU de la pieza</t>
  </si>
  <si>
    <t xml:space="preserve">o Gama</t>
  </si>
  <si>
    <t xml:space="preserve">Precio del paquete (C$) *</t>
  </si>
  <si>
    <t xml:space="preserve">Motivo</t>
  </si>
  <si>
    <t xml:space="preserve">TIT-LAB-16-8</t>
  </si>
  <si>
    <t xml:space="preserve">Ejemplo: precio de lanzamiento</t>
  </si>
  <si>
    <t xml:space="preserve">SKU *</t>
  </si>
  <si>
    <t xml:space="preserve">Código de barras (si trae)</t>
  </si>
  <si>
    <t xml:space="preserve">Categoría *</t>
  </si>
  <si>
    <t xml:space="preserve">Producto *</t>
  </si>
  <si>
    <t xml:space="preserve">Variante / medida *</t>
  </si>
  <si>
    <t xml:space="preserve">Material</t>
  </si>
  <si>
    <t xml:space="preserve">Calibre</t>
  </si>
  <si>
    <t xml:space="preserve">Largo o diámetro (mm)</t>
  </si>
  <si>
    <t xml:space="preserve">Gama (solo piezas de perforación)</t>
  </si>
  <si>
    <t xml:space="preserve">Precio de venta (C$) *</t>
  </si>
  <si>
    <t xml:space="preserve">Costo unitario (C$)</t>
  </si>
  <si>
    <t xml:space="preserve">Stock mínimo Las Américas</t>
  </si>
  <si>
    <t xml:space="preserve">Stock mínimo Las Brisas</t>
  </si>
  <si>
    <t xml:space="preserve">Margen</t>
  </si>
  <si>
    <t xml:space="preserve">TIT-LAB-16-6</t>
  </si>
  <si>
    <t xml:space="preserve">Labret rosca interna</t>
  </si>
  <si>
    <t xml:space="preserve">Titanio F-136 · 16G · 6 mm</t>
  </si>
  <si>
    <t xml:space="preserve">Titanio ASTM F-136</t>
  </si>
  <si>
    <t xml:space="preserve">16G</t>
  </si>
  <si>
    <t xml:space="preserve">Producto</t>
  </si>
  <si>
    <t xml:space="preserve">Bodega central</t>
  </si>
  <si>
    <t xml:space="preserve">Las Américas</t>
  </si>
  <si>
    <t xml:space="preserve">Las Brisas</t>
  </si>
  <si>
    <t xml:space="preserve">Total</t>
  </si>
  <si>
    <t xml:space="preserve">Valor a costo (C$)</t>
  </si>
  <si>
    <t xml:space="preserve">País</t>
  </si>
  <si>
    <t xml:space="preserve">Moneda habitual *</t>
  </si>
  <si>
    <t xml:space="preserve">Contacto</t>
  </si>
  <si>
    <t xml:space="preserve">Teléfono</t>
  </si>
  <si>
    <t xml:space="preserve">Correo</t>
  </si>
  <si>
    <t xml:space="preserve">Distribuidora de ejemplo</t>
  </si>
  <si>
    <t xml:space="preserve">Estados Unidos</t>
  </si>
  <si>
    <t xml:space="preserve">USD</t>
  </si>
  <si>
    <t xml:space="preserve">Nombre del contacto</t>
  </si>
  <si>
    <t xml:space="preserve">Nombre completo *</t>
  </si>
  <si>
    <t xml:space="preserve">Usuario *
(minúsculas, sin espacios)</t>
  </si>
  <si>
    <t xml:space="preserve">Rol *</t>
  </si>
  <si>
    <t xml:space="preserve">Sucursal *</t>
  </si>
  <si>
    <t xml:space="preserve">María López</t>
  </si>
  <si>
    <t xml:space="preserve">maria.lopez</t>
  </si>
  <si>
    <t xml:space="preserve">Encargado</t>
  </si>
  <si>
    <t xml:space="preserve">Tipo *</t>
  </si>
  <si>
    <t xml:space="preserve">Valor * (% o C$)</t>
  </si>
  <si>
    <t xml:space="preserve">Compra mínima (C$)</t>
  </si>
  <si>
    <t xml:space="preserve">Válida desde</t>
  </si>
  <si>
    <t xml:space="preserve">Válida hasta</t>
  </si>
  <si>
    <t xml:space="preserve">¿Activa?</t>
  </si>
  <si>
    <t xml:space="preserve">Descripción</t>
  </si>
  <si>
    <t xml:space="preserve">Promo 10 %</t>
  </si>
  <si>
    <t xml:space="preserve">PORCENTAJE</t>
  </si>
  <si>
    <t xml:space="preserve">No</t>
  </si>
  <si>
    <t xml:space="preserve">10 % en toda la venta</t>
  </si>
  <si>
    <t xml:space="preserve">Revisión antes de enviar</t>
  </si>
  <si>
    <t xml:space="preserve">Todo debe decir OK. Las cifras se actualizan solas.</t>
  </si>
  <si>
    <t xml:space="preserve">Revisión</t>
  </si>
  <si>
    <t xml:space="preserve">Cantidad</t>
  </si>
  <si>
    <t xml:space="preserve">SKU repetidos en Productos</t>
  </si>
  <si>
    <t xml:space="preserve">Productos sin categoría</t>
  </si>
  <si>
    <t xml:space="preserve">Productos sin precio de venta</t>
  </si>
  <si>
    <t xml:space="preserve">Piezas de piercing sin gama</t>
  </si>
  <si>
    <t xml:space="preserve">Productos con margen menor a 40 %</t>
  </si>
  <si>
    <t xml:space="preserve">SKU de inventario que no existen en Productos</t>
  </si>
  <si>
    <t xml:space="preserve">Perforaciones con precio faltante en la tabla</t>
  </si>
  <si>
    <t xml:space="preserve">Códigos de perforación repetidos</t>
  </si>
  <si>
    <t xml:space="preserve">Usuarios repetidos</t>
  </si>
  <si>
    <t xml:space="preserve">Productos cargados</t>
  </si>
  <si>
    <t xml:space="preserve">Perforaciones cargadas</t>
  </si>
  <si>
    <t xml:space="preserve">Piezas en inventario inicial (total)</t>
  </si>
  <si>
    <t xml:space="preserve">Valor del inventario inicial a costo (C$)</t>
  </si>
  <si>
    <t xml:space="preserve">Las filas de ejemplo (fila 2, en gris) cuentan como datos: bórrelas o reemplácelas antes de enviar.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</si>
</sst>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%"/>
    <numFmt numFmtId="167" formatCode="dd/mm/yyyy"/>
    <numFmt numFmtId="168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E6B57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7A7A7A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14"/>
      <color rgb="FF0E6B57"/>
      <name val="Arial"/>
      <family val="0"/>
      <charset val="1"/>
    </font>
    <font>
      <i val="true"/>
      <sz val="9"/>
      <color rgb="FF7A7A7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7CC"/>
        <bgColor rgb="FFEEF2F0"/>
      </patternFill>
    </fill>
    <fill>
      <patternFill patternType="solid">
        <fgColor rgb="FFEEF2F0"/>
        <bgColor rgb="FFE1EFEA"/>
      </patternFill>
    </fill>
    <fill>
      <patternFill patternType="solid">
        <fgColor rgb="FF0E6B57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E0DB"/>
      </left>
      <right style="thin">
        <color rgb="FFD6E0DB"/>
      </right>
      <top style="thin">
        <color rgb="FFD6E0DB"/>
      </top>
      <bottom style="thin">
        <color rgb="FFD6E0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9C3D10"/>
      </font>
      <fill>
        <patternFill>
          <bgColor rgb="FFFBE3D6"/>
        </patternFill>
      </fill>
    </dxf>
    <dxf>
      <font>
        <name val="Arial"/>
        <charset val="1"/>
        <family val="0"/>
        <b val="1"/>
        <color rgb="FF0E6B57"/>
      </font>
      <fill>
        <patternFill>
          <bgColor rgb="FFE1EFE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B57"/>
      <rgbColor rgb="FFC0C0C0"/>
      <rgbColor rgb="FF7A7A7A"/>
      <rgbColor rgb="FF9999FF"/>
      <rgbColor rgb="FF993366"/>
      <rgbColor rgb="FFFFF7CC"/>
      <rgbColor rgb="FFE1EFEA"/>
      <rgbColor rgb="FF660066"/>
      <rgbColor rgb="FFFF8080"/>
      <rgbColor rgb="FF0066CC"/>
      <rgbColor rgb="FFD6E0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0"/>
      <rgbColor rgb="FFCCFFCC"/>
      <rgbColor rgb="FFFFFF99"/>
      <rgbColor rgb="FF99CCFF"/>
      <rgbColor rgb="FFFF99CC"/>
      <rgbColor rgb="FFCC99FF"/>
      <rgbColor rgb="FFFBE3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C3D1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7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8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9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9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/>
      <c r="C6" s="5" t="s">
        <v>3</v>
      </c>
    </row>
    <row r="7" customFormat="false" ht="15" hidden="false" customHeight="false" outlineLevel="0" collapsed="false">
      <c r="B7" s="6"/>
      <c r="C7" s="5" t="s">
        <v>4</v>
      </c>
    </row>
    <row r="8" customFormat="false" ht="15" hidden="false" customHeight="false" outlineLevel="0" collapsed="false">
      <c r="B8" s="7" t="s">
        <v>5</v>
      </c>
      <c r="C8" s="5" t="s">
        <v>6</v>
      </c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8" t="s">
        <v>8</v>
      </c>
      <c r="C11" s="9" t="s">
        <v>9</v>
      </c>
    </row>
    <row r="12" customFormat="false" ht="15" hidden="false" customHeight="false" outlineLevel="0" collapsed="false">
      <c r="B12" s="8" t="s">
        <v>10</v>
      </c>
      <c r="C12" s="9" t="s">
        <v>11</v>
      </c>
    </row>
    <row r="13" customFormat="false" ht="23.85" hidden="false" customHeight="false" outlineLevel="0" collapsed="false">
      <c r="B13" s="8" t="s">
        <v>12</v>
      </c>
      <c r="C13" s="9" t="s">
        <v>13</v>
      </c>
    </row>
    <row r="14" customFormat="false" ht="23.85" hidden="false" customHeight="false" outlineLevel="0" collapsed="false">
      <c r="B14" s="8" t="s">
        <v>14</v>
      </c>
      <c r="C14" s="9" t="s">
        <v>15</v>
      </c>
    </row>
    <row r="15" customFormat="false" ht="15" hidden="false" customHeight="false" outlineLevel="0" collapsed="false">
      <c r="B15" s="8" t="s">
        <v>16</v>
      </c>
      <c r="C15" s="9" t="s">
        <v>17</v>
      </c>
    </row>
    <row r="16" customFormat="false" ht="23.85" hidden="false" customHeight="false" outlineLevel="0" collapsed="false">
      <c r="B16" s="8" t="s">
        <v>18</v>
      </c>
      <c r="C16" s="9" t="s">
        <v>19</v>
      </c>
    </row>
    <row r="17" customFormat="false" ht="15" hidden="false" customHeight="false" outlineLevel="0" collapsed="false">
      <c r="B17" s="8" t="s">
        <v>20</v>
      </c>
      <c r="C17" s="9" t="s">
        <v>21</v>
      </c>
    </row>
    <row r="18" customFormat="false" ht="15" hidden="false" customHeight="false" outlineLevel="0" collapsed="false">
      <c r="B18" s="8" t="s">
        <v>22</v>
      </c>
      <c r="C18" s="9" t="s">
        <v>23</v>
      </c>
    </row>
    <row r="19" customFormat="false" ht="15" hidden="false" customHeight="false" outlineLevel="0" collapsed="false">
      <c r="B19" s="8" t="s">
        <v>24</v>
      </c>
      <c r="C19" s="9" t="s">
        <v>25</v>
      </c>
    </row>
    <row r="20" customFormat="false" ht="15" hidden="false" customHeight="false" outlineLevel="0" collapsed="false">
      <c r="B20" s="8" t="s">
        <v>26</v>
      </c>
      <c r="C20" s="9" t="s">
        <v>27</v>
      </c>
    </row>
    <row r="21" customFormat="false" ht="15" hidden="false" customHeight="false" outlineLevel="0" collapsed="false">
      <c r="B21" s="8" t="s">
        <v>28</v>
      </c>
      <c r="C21" s="9" t="s">
        <v>29</v>
      </c>
    </row>
    <row r="23" customFormat="false" ht="15" hidden="false" customHeight="false" outlineLevel="0" collapsed="false">
      <c r="B23" s="3" t="s">
        <v>30</v>
      </c>
    </row>
    <row r="24" customFormat="false" ht="23.85" hidden="false" customHeight="false" outlineLevel="0" collapsed="false">
      <c r="C24" s="9" t="s">
        <v>31</v>
      </c>
    </row>
    <row r="25" customFormat="false" ht="15" hidden="false" customHeight="false" outlineLevel="0" collapsed="false">
      <c r="C25" s="9" t="s">
        <v>32</v>
      </c>
    </row>
    <row r="26" customFormat="false" ht="23.85" hidden="false" customHeight="false" outlineLevel="0" collapsed="false">
      <c r="C26" s="9" t="s">
        <v>33</v>
      </c>
    </row>
    <row r="27" customFormat="false" ht="23.85" hidden="false" customHeight="false" outlineLevel="0" collapsed="false">
      <c r="C27" s="9" t="s">
        <v>34</v>
      </c>
    </row>
    <row r="28" customFormat="false" ht="23.85" hidden="false" customHeight="false" outlineLevel="0" collapsed="false">
      <c r="C28" s="9" t="s">
        <v>35</v>
      </c>
    </row>
    <row r="29" customFormat="false" ht="15" hidden="false" customHeight="false" outlineLevel="0" collapsed="false">
      <c r="C29" s="9" t="s">
        <v>36</v>
      </c>
    </row>
    <row r="30" customFormat="false" ht="23.85" hidden="false" customHeight="false" outlineLevel="0" collapsed="false">
      <c r="C30" s="9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</cols>
  <sheetData>
    <row r="1" customFormat="false" ht="42" hidden="false" customHeight="true" outlineLevel="0" collapsed="false">
      <c r="A1" s="10" t="s">
        <v>38</v>
      </c>
      <c r="B1" s="10" t="s">
        <v>39</v>
      </c>
    </row>
    <row r="2" customFormat="false" ht="15" hidden="false" customHeight="false" outlineLevel="0" collapsed="false">
      <c r="A2" s="11" t="s">
        <v>40</v>
      </c>
      <c r="B2" s="11"/>
    </row>
    <row r="3" customFormat="false" ht="15" hidden="false" customHeight="false" outlineLevel="0" collapsed="false">
      <c r="A3" s="11" t="s">
        <v>41</v>
      </c>
      <c r="B3" s="11"/>
    </row>
    <row r="4" customFormat="false" ht="15" hidden="false" customHeight="false" outlineLevel="0" collapsed="false">
      <c r="A4" s="11" t="s">
        <v>42</v>
      </c>
      <c r="B4" s="11"/>
    </row>
    <row r="5" customFormat="false" ht="15" hidden="false" customHeight="false" outlineLevel="0" collapsed="false">
      <c r="A5" s="11" t="s">
        <v>43</v>
      </c>
      <c r="B5" s="11"/>
    </row>
    <row r="6" customFormat="false" ht="15" hidden="false" customHeight="false" outlineLevel="0" collapsed="false">
      <c r="A6" s="11" t="s">
        <v>44</v>
      </c>
      <c r="B6" s="11"/>
    </row>
    <row r="7" customFormat="false" ht="15" hidden="false" customHeight="false" outlineLevel="0" collapsed="false">
      <c r="A7" s="11" t="s">
        <v>45</v>
      </c>
      <c r="B7" s="11"/>
    </row>
    <row r="8" customFormat="false" ht="15" hidden="false" customHeight="false" outlineLevel="0" collapsed="false">
      <c r="A8" s="11" t="s">
        <v>46</v>
      </c>
      <c r="B8" s="11"/>
    </row>
    <row r="9" customFormat="false" ht="15" hidden="false" customHeight="false" outlineLevel="0" collapsed="false">
      <c r="A9" s="11" t="s">
        <v>47</v>
      </c>
      <c r="B9" s="11"/>
    </row>
    <row r="10" customFormat="false" ht="15" hidden="false" customHeight="false" outlineLevel="0" collapsed="false">
      <c r="A10" s="11" t="s">
        <v>48</v>
      </c>
      <c r="B10" s="11"/>
    </row>
    <row r="11" customFormat="false" ht="15" hidden="false" customHeight="false" outlineLevel="0" collapsed="false">
      <c r="A11" s="11" t="s">
        <v>49</v>
      </c>
      <c r="B11" s="11"/>
    </row>
    <row r="12" customFormat="false" ht="15" hidden="false" customHeight="false" outlineLevel="0" collapsed="false">
      <c r="A12" s="11" t="s">
        <v>50</v>
      </c>
      <c r="B12" s="11"/>
    </row>
    <row r="13" customFormat="false" ht="15" hidden="false" customHeight="false" outlineLevel="0" collapsed="false">
      <c r="A13" s="11"/>
      <c r="B13" s="11"/>
    </row>
    <row r="14" customFormat="false" ht="15" hidden="false" customHeight="false" outlineLevel="0" collapsed="false">
      <c r="A14" s="11"/>
      <c r="B14" s="11"/>
    </row>
    <row r="15" customFormat="false" ht="15" hidden="false" customHeight="false" outlineLevel="0" collapsed="false">
      <c r="A15" s="11"/>
      <c r="B15" s="11"/>
    </row>
    <row r="16" customFormat="false" ht="15" hidden="false" customHeight="false" outlineLevel="0" collapsed="false">
      <c r="A16" s="11"/>
      <c r="B16" s="11"/>
    </row>
    <row r="17" customFormat="false" ht="15" hidden="false" customHeight="false" outlineLevel="0" collapsed="false">
      <c r="A17" s="11"/>
      <c r="B17" s="11"/>
    </row>
    <row r="18" customFormat="false" ht="15" hidden="false" customHeight="false" outlineLevel="0" collapsed="false">
      <c r="A18" s="11"/>
      <c r="B18" s="11"/>
    </row>
    <row r="19" customFormat="false" ht="15" hidden="false" customHeight="false" outlineLevel="0" collapsed="false">
      <c r="A19" s="11"/>
      <c r="B19" s="11"/>
    </row>
    <row r="20" customFormat="false" ht="15" hidden="false" customHeight="false" outlineLevel="0" collapsed="false">
      <c r="A20" s="11"/>
      <c r="B20" s="11"/>
    </row>
    <row r="21" customFormat="false" ht="15" hidden="false" customHeight="false" outlineLevel="0" collapsed="false">
      <c r="A21" s="11"/>
      <c r="B21" s="11"/>
    </row>
    <row r="22" customFormat="false" ht="15" hidden="false" customHeight="false" outlineLevel="0" collapsed="false">
      <c r="A22" s="11"/>
      <c r="B22" s="11"/>
    </row>
    <row r="23" customFormat="false" ht="15" hidden="false" customHeight="false" outlineLevel="0" collapsed="false">
      <c r="A23" s="11"/>
      <c r="B23" s="11"/>
    </row>
    <row r="24" customFormat="false" ht="15" hidden="false" customHeight="false" outlineLevel="0" collapsed="false">
      <c r="A24" s="11"/>
      <c r="B24" s="11"/>
    </row>
    <row r="25" customFormat="false" ht="15" hidden="false" customHeight="false" outlineLevel="0" collapsed="false">
      <c r="A25" s="11"/>
      <c r="B25" s="11"/>
    </row>
    <row r="26" customFormat="false" ht="15" hidden="false" customHeight="false" outlineLevel="0" collapsed="false">
      <c r="A26" s="11"/>
      <c r="B26" s="11"/>
    </row>
    <row r="27" customFormat="false" ht="15" hidden="false" customHeight="false" outlineLevel="0" collapsed="false">
      <c r="A27" s="11"/>
      <c r="B27" s="11"/>
    </row>
    <row r="28" customFormat="false" ht="15" hidden="false" customHeight="false" outlineLevel="0" collapsed="false">
      <c r="A28" s="11"/>
      <c r="B28" s="11"/>
    </row>
    <row r="29" customFormat="false" ht="15" hidden="false" customHeight="false" outlineLevel="0" collapsed="false">
      <c r="A29" s="11"/>
      <c r="B29" s="11"/>
    </row>
    <row r="30" customFormat="false" ht="15" hidden="false" customHeight="false" outlineLevel="0" collapsed="false">
      <c r="A30" s="11"/>
      <c r="B30" s="11"/>
    </row>
    <row r="31" customFormat="false" ht="15" hidden="false" customHeight="false" outlineLevel="0" collapsed="false">
      <c r="A31" s="11"/>
      <c r="B31" s="11"/>
    </row>
    <row r="32" customFormat="false" ht="15" hidden="false" customHeight="false" outlineLevel="0" collapsed="false">
      <c r="A32" s="11"/>
      <c r="B32" s="11"/>
    </row>
    <row r="33" customFormat="false" ht="15" hidden="false" customHeight="false" outlineLevel="0" collapsed="false">
      <c r="A33" s="11"/>
      <c r="B33" s="11"/>
    </row>
    <row r="34" customFormat="false" ht="15" hidden="false" customHeight="false" outlineLevel="0" collapsed="false">
      <c r="A34" s="11"/>
      <c r="B34" s="11"/>
    </row>
    <row r="35" customFormat="false" ht="15" hidden="false" customHeight="false" outlineLevel="0" collapsed="false">
      <c r="A35" s="11"/>
      <c r="B35" s="11"/>
    </row>
    <row r="36" customFormat="false" ht="15" hidden="false" customHeight="false" outlineLevel="0" collapsed="false">
      <c r="A36" s="11"/>
      <c r="B36" s="11"/>
    </row>
    <row r="37" customFormat="false" ht="15" hidden="false" customHeight="false" outlineLevel="0" collapsed="false">
      <c r="A37" s="11"/>
      <c r="B37" s="11"/>
    </row>
    <row r="38" customFormat="false" ht="15" hidden="false" customHeight="false" outlineLevel="0" collapsed="false">
      <c r="A38" s="11"/>
      <c r="B38" s="11"/>
    </row>
    <row r="39" customFormat="false" ht="15" hidden="false" customHeight="false" outlineLevel="0" collapsed="false">
      <c r="A39" s="11"/>
      <c r="B39" s="11"/>
    </row>
    <row r="40" customFormat="false" ht="15" hidden="false" customHeight="false" outlineLevel="0" collapsed="false">
      <c r="A40" s="11"/>
      <c r="B40" s="11"/>
    </row>
    <row r="41" customFormat="false" ht="15" hidden="false" customHeight="false" outlineLevel="0" collapsed="false">
      <c r="A41" s="11"/>
      <c r="B41" s="11"/>
    </row>
    <row r="42" customFormat="false" ht="15" hidden="false" customHeight="false" outlineLevel="0" collapsed="false">
      <c r="A42" s="11"/>
      <c r="B42" s="11"/>
    </row>
    <row r="43" customFormat="false" ht="15" hidden="false" customHeight="false" outlineLevel="0" collapsed="false">
      <c r="A43" s="11"/>
      <c r="B43" s="11"/>
    </row>
    <row r="44" customFormat="false" ht="15" hidden="false" customHeight="false" outlineLevel="0" collapsed="false">
      <c r="A44" s="11"/>
      <c r="B44" s="11"/>
    </row>
    <row r="45" customFormat="false" ht="15" hidden="false" customHeight="false" outlineLevel="0" collapsed="false">
      <c r="A45" s="11"/>
      <c r="B45" s="11"/>
    </row>
    <row r="46" customFormat="false" ht="15" hidden="false" customHeight="false" outlineLevel="0" collapsed="false">
      <c r="A46" s="11"/>
      <c r="B46" s="11"/>
    </row>
    <row r="47" customFormat="false" ht="15" hidden="false" customHeight="false" outlineLevel="0" collapsed="false">
      <c r="A47" s="11"/>
      <c r="B47" s="11"/>
    </row>
    <row r="48" customFormat="false" ht="15" hidden="false" customHeight="false" outlineLevel="0" collapsed="false">
      <c r="A48" s="11"/>
      <c r="B48" s="11"/>
    </row>
    <row r="49" customFormat="false" ht="15" hidden="false" customHeight="false" outlineLevel="0" collapsed="false">
      <c r="A49" s="11"/>
      <c r="B49" s="11"/>
    </row>
    <row r="50" customFormat="false" ht="15" hidden="false" customHeight="false" outlineLevel="0" collapsed="false">
      <c r="A50" s="11"/>
      <c r="B50" s="11"/>
    </row>
    <row r="51" customFormat="false" ht="15" hidden="false" customHeight="false" outlineLevel="0" collapsed="false">
      <c r="A51" s="11"/>
      <c r="B51" s="11"/>
    </row>
    <row r="52" customFormat="false" ht="15" hidden="false" customHeight="false" outlineLevel="0" collapsed="false">
      <c r="A52" s="11"/>
      <c r="B52" s="11"/>
    </row>
    <row r="53" customFormat="false" ht="15" hidden="false" customHeight="false" outlineLevel="0" collapsed="false">
      <c r="A53" s="11"/>
      <c r="B53" s="11"/>
    </row>
    <row r="54" customFormat="false" ht="15" hidden="false" customHeight="false" outlineLevel="0" collapsed="false">
      <c r="A54" s="11"/>
      <c r="B54" s="11"/>
    </row>
    <row r="55" customFormat="false" ht="15" hidden="false" customHeight="false" outlineLevel="0" collapsed="false">
      <c r="A55" s="11"/>
      <c r="B55" s="11"/>
    </row>
    <row r="56" customFormat="false" ht="15" hidden="false" customHeight="false" outlineLevel="0" collapsed="false">
      <c r="A56" s="11"/>
      <c r="B56" s="11"/>
    </row>
    <row r="57" customFormat="false" ht="15" hidden="false" customHeight="false" outlineLevel="0" collapsed="false">
      <c r="A57" s="11"/>
      <c r="B57" s="11"/>
    </row>
    <row r="58" customFormat="false" ht="15" hidden="false" customHeight="false" outlineLevel="0" collapsed="false">
      <c r="A58" s="11"/>
      <c r="B58" s="11"/>
    </row>
    <row r="59" customFormat="false" ht="15" hidden="false" customHeight="false" outlineLevel="0" collapsed="false">
      <c r="A59" s="11"/>
      <c r="B59" s="11"/>
    </row>
    <row r="60" customFormat="false" ht="15" hidden="false" customHeight="false" outlineLevel="0" collapsed="false">
      <c r="A60" s="11"/>
      <c r="B60" s="11"/>
    </row>
    <row r="61" customFormat="false" ht="15" hidden="false" customHeight="false" outlineLevel="0" collapsed="false">
      <c r="A61" s="11"/>
      <c r="B61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50"/>
  </cols>
  <sheetData>
    <row r="1" customFormat="false" ht="42" hidden="false" customHeight="true" outlineLevel="0" collapsed="false">
      <c r="A1" s="10" t="s">
        <v>51</v>
      </c>
      <c r="B1" s="10" t="s">
        <v>52</v>
      </c>
      <c r="C1" s="10" t="s">
        <v>5</v>
      </c>
    </row>
    <row r="2" customFormat="false" ht="15" hidden="false" customHeight="false" outlineLevel="0" collapsed="false">
      <c r="A2" s="12" t="s">
        <v>53</v>
      </c>
      <c r="B2" s="12" t="s">
        <v>54</v>
      </c>
      <c r="C2" s="12" t="s">
        <v>55</v>
      </c>
    </row>
    <row r="3" customFormat="false" ht="15" hidden="false" customHeight="false" outlineLevel="0" collapsed="false">
      <c r="A3" s="12" t="s">
        <v>56</v>
      </c>
      <c r="B3" s="12" t="s">
        <v>54</v>
      </c>
      <c r="C3" s="12" t="s">
        <v>57</v>
      </c>
    </row>
    <row r="4" customFormat="false" ht="15" hidden="false" customHeight="false" outlineLevel="0" collapsed="false">
      <c r="A4" s="12" t="s">
        <v>58</v>
      </c>
      <c r="B4" s="12" t="s">
        <v>59</v>
      </c>
      <c r="C4" s="12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7" min="5" style="0" width="14"/>
    <col collapsed="false" customWidth="true" hidden="false" outlineLevel="0" max="8" min="8" style="0" width="40"/>
  </cols>
  <sheetData>
    <row r="1" customFormat="false" ht="42" hidden="false" customHeight="true" outlineLevel="0" collapsed="false">
      <c r="A1" s="10" t="s">
        <v>61</v>
      </c>
      <c r="B1" s="10" t="s">
        <v>62</v>
      </c>
      <c r="C1" s="10" t="s">
        <v>63</v>
      </c>
      <c r="D1" s="10" t="s">
        <v>64</v>
      </c>
      <c r="E1" s="10" t="s">
        <v>65</v>
      </c>
      <c r="F1" s="10" t="s">
        <v>66</v>
      </c>
      <c r="G1" s="10" t="s">
        <v>67</v>
      </c>
      <c r="H1" s="10" t="s">
        <v>68</v>
      </c>
    </row>
    <row r="2" customFormat="false" ht="15" hidden="false" customHeight="false" outlineLevel="0" collapsed="false">
      <c r="A2" s="13" t="s">
        <v>69</v>
      </c>
      <c r="B2" s="13" t="s">
        <v>70</v>
      </c>
      <c r="C2" s="14" t="n">
        <v>350</v>
      </c>
      <c r="D2" s="13" t="n">
        <v>1</v>
      </c>
      <c r="E2" s="13" t="s">
        <v>71</v>
      </c>
      <c r="F2" s="13" t="s">
        <v>71</v>
      </c>
      <c r="G2" s="13" t="s">
        <v>71</v>
      </c>
      <c r="H2" s="13" t="s">
        <v>72</v>
      </c>
    </row>
    <row r="3" customFormat="false" ht="15" hidden="false" customHeight="false" outlineLevel="0" collapsed="false">
      <c r="A3" s="11"/>
      <c r="B3" s="11"/>
      <c r="C3" s="15"/>
      <c r="D3" s="11"/>
      <c r="E3" s="11"/>
      <c r="F3" s="11"/>
      <c r="G3" s="11"/>
      <c r="H3" s="11"/>
    </row>
    <row r="4" customFormat="false" ht="15" hidden="false" customHeight="false" outlineLevel="0" collapsed="false">
      <c r="A4" s="11"/>
      <c r="B4" s="11"/>
      <c r="C4" s="15"/>
      <c r="D4" s="11"/>
      <c r="E4" s="11"/>
      <c r="F4" s="11"/>
      <c r="G4" s="11"/>
      <c r="H4" s="11"/>
    </row>
    <row r="5" customFormat="false" ht="15" hidden="false" customHeight="false" outlineLevel="0" collapsed="false">
      <c r="A5" s="11"/>
      <c r="B5" s="11"/>
      <c r="C5" s="15"/>
      <c r="D5" s="11"/>
      <c r="E5" s="11"/>
      <c r="F5" s="11"/>
      <c r="G5" s="11"/>
      <c r="H5" s="11"/>
    </row>
    <row r="6" customFormat="false" ht="15" hidden="false" customHeight="false" outlineLevel="0" collapsed="false">
      <c r="A6" s="11"/>
      <c r="B6" s="11"/>
      <c r="C6" s="15"/>
      <c r="D6" s="11"/>
      <c r="E6" s="11"/>
      <c r="F6" s="11"/>
      <c r="G6" s="11"/>
      <c r="H6" s="11"/>
    </row>
    <row r="7" customFormat="false" ht="15" hidden="false" customHeight="false" outlineLevel="0" collapsed="false">
      <c r="A7" s="11"/>
      <c r="B7" s="11"/>
      <c r="C7" s="15"/>
      <c r="D7" s="11"/>
      <c r="E7" s="11"/>
      <c r="F7" s="11"/>
      <c r="G7" s="11"/>
      <c r="H7" s="11"/>
    </row>
    <row r="8" customFormat="false" ht="15" hidden="false" customHeight="false" outlineLevel="0" collapsed="false">
      <c r="A8" s="11"/>
      <c r="B8" s="11"/>
      <c r="C8" s="15"/>
      <c r="D8" s="11"/>
      <c r="E8" s="11"/>
      <c r="F8" s="11"/>
      <c r="G8" s="11"/>
      <c r="H8" s="11"/>
    </row>
    <row r="9" customFormat="false" ht="15" hidden="false" customHeight="false" outlineLevel="0" collapsed="false">
      <c r="A9" s="11"/>
      <c r="B9" s="11"/>
      <c r="C9" s="15"/>
      <c r="D9" s="11"/>
      <c r="E9" s="11"/>
      <c r="F9" s="11"/>
      <c r="G9" s="11"/>
      <c r="H9" s="11"/>
    </row>
    <row r="10" customFormat="false" ht="15" hidden="false" customHeight="false" outlineLevel="0" collapsed="false">
      <c r="A10" s="11"/>
      <c r="B10" s="11"/>
      <c r="C10" s="15"/>
      <c r="D10" s="11"/>
      <c r="E10" s="11"/>
      <c r="F10" s="11"/>
      <c r="G10" s="11"/>
      <c r="H10" s="11"/>
    </row>
    <row r="11" customFormat="false" ht="15" hidden="false" customHeight="false" outlineLevel="0" collapsed="false">
      <c r="A11" s="11"/>
      <c r="B11" s="11"/>
      <c r="C11" s="15"/>
      <c r="D11" s="11"/>
      <c r="E11" s="11"/>
      <c r="F11" s="11"/>
      <c r="G11" s="11"/>
      <c r="H11" s="11"/>
    </row>
    <row r="12" customFormat="false" ht="15" hidden="false" customHeight="false" outlineLevel="0" collapsed="false">
      <c r="A12" s="11"/>
      <c r="B12" s="11"/>
      <c r="C12" s="15"/>
      <c r="D12" s="11"/>
      <c r="E12" s="11"/>
      <c r="F12" s="11"/>
      <c r="G12" s="11"/>
      <c r="H12" s="11"/>
    </row>
    <row r="13" customFormat="false" ht="15" hidden="false" customHeight="false" outlineLevel="0" collapsed="false">
      <c r="A13" s="11"/>
      <c r="B13" s="11"/>
      <c r="C13" s="15"/>
      <c r="D13" s="11"/>
      <c r="E13" s="11"/>
      <c r="F13" s="11"/>
      <c r="G13" s="11"/>
      <c r="H13" s="11"/>
    </row>
    <row r="14" customFormat="false" ht="15" hidden="false" customHeight="false" outlineLevel="0" collapsed="false">
      <c r="A14" s="11"/>
      <c r="B14" s="11"/>
      <c r="C14" s="15"/>
      <c r="D14" s="11"/>
      <c r="E14" s="11"/>
      <c r="F14" s="11"/>
      <c r="G14" s="11"/>
      <c r="H14" s="11"/>
    </row>
    <row r="15" customFormat="false" ht="15" hidden="false" customHeight="false" outlineLevel="0" collapsed="false">
      <c r="A15" s="11"/>
      <c r="B15" s="11"/>
      <c r="C15" s="15"/>
      <c r="D15" s="11"/>
      <c r="E15" s="11"/>
      <c r="F15" s="11"/>
      <c r="G15" s="11"/>
      <c r="H15" s="11"/>
    </row>
    <row r="16" customFormat="false" ht="15" hidden="false" customHeight="false" outlineLevel="0" collapsed="false">
      <c r="A16" s="11"/>
      <c r="B16" s="11"/>
      <c r="C16" s="15"/>
      <c r="D16" s="11"/>
      <c r="E16" s="11"/>
      <c r="F16" s="11"/>
      <c r="G16" s="11"/>
      <c r="H16" s="11"/>
    </row>
    <row r="17" customFormat="false" ht="15" hidden="false" customHeight="false" outlineLevel="0" collapsed="false">
      <c r="A17" s="11"/>
      <c r="B17" s="11"/>
      <c r="C17" s="15"/>
      <c r="D17" s="11"/>
      <c r="E17" s="11"/>
      <c r="F17" s="11"/>
      <c r="G17" s="11"/>
      <c r="H17" s="11"/>
    </row>
    <row r="18" customFormat="false" ht="15" hidden="false" customHeight="false" outlineLevel="0" collapsed="false">
      <c r="A18" s="11"/>
      <c r="B18" s="11"/>
      <c r="C18" s="15"/>
      <c r="D18" s="11"/>
      <c r="E18" s="11"/>
      <c r="F18" s="11"/>
      <c r="G18" s="11"/>
      <c r="H18" s="11"/>
    </row>
    <row r="19" customFormat="false" ht="15" hidden="false" customHeight="false" outlineLevel="0" collapsed="false">
      <c r="A19" s="11"/>
      <c r="B19" s="11"/>
      <c r="C19" s="15"/>
      <c r="D19" s="11"/>
      <c r="E19" s="11"/>
      <c r="F19" s="11"/>
      <c r="G19" s="11"/>
      <c r="H19" s="11"/>
    </row>
    <row r="20" customFormat="false" ht="15" hidden="false" customHeight="false" outlineLevel="0" collapsed="false">
      <c r="A20" s="11"/>
      <c r="B20" s="11"/>
      <c r="C20" s="15"/>
      <c r="D20" s="11"/>
      <c r="E20" s="11"/>
      <c r="F20" s="11"/>
      <c r="G20" s="11"/>
      <c r="H20" s="11"/>
    </row>
    <row r="21" customFormat="false" ht="15" hidden="false" customHeight="false" outlineLevel="0" collapsed="false">
      <c r="A21" s="11"/>
      <c r="B21" s="11"/>
      <c r="C21" s="15"/>
      <c r="D21" s="11"/>
      <c r="E21" s="11"/>
      <c r="F21" s="11"/>
      <c r="G21" s="11"/>
      <c r="H21" s="11"/>
    </row>
    <row r="22" customFormat="false" ht="15" hidden="false" customHeight="false" outlineLevel="0" collapsed="false">
      <c r="A22" s="11"/>
      <c r="B22" s="11"/>
      <c r="C22" s="15"/>
      <c r="D22" s="11"/>
      <c r="E22" s="11"/>
      <c r="F22" s="11"/>
      <c r="G22" s="11"/>
      <c r="H22" s="11"/>
    </row>
    <row r="23" customFormat="false" ht="15" hidden="false" customHeight="false" outlineLevel="0" collapsed="false">
      <c r="A23" s="11"/>
      <c r="B23" s="11"/>
      <c r="C23" s="15"/>
      <c r="D23" s="11"/>
      <c r="E23" s="11"/>
      <c r="F23" s="11"/>
      <c r="G23" s="11"/>
      <c r="H23" s="11"/>
    </row>
    <row r="24" customFormat="false" ht="15" hidden="false" customHeight="false" outlineLevel="0" collapsed="false">
      <c r="A24" s="11"/>
      <c r="B24" s="11"/>
      <c r="C24" s="15"/>
      <c r="D24" s="11"/>
      <c r="E24" s="11"/>
      <c r="F24" s="11"/>
      <c r="G24" s="11"/>
      <c r="H24" s="11"/>
    </row>
    <row r="25" customFormat="false" ht="15" hidden="false" customHeight="false" outlineLevel="0" collapsed="false">
      <c r="A25" s="11"/>
      <c r="B25" s="11"/>
      <c r="C25" s="15"/>
      <c r="D25" s="11"/>
      <c r="E25" s="11"/>
      <c r="F25" s="11"/>
      <c r="G25" s="11"/>
      <c r="H25" s="11"/>
    </row>
    <row r="26" customFormat="false" ht="15" hidden="false" customHeight="false" outlineLevel="0" collapsed="false">
      <c r="A26" s="11"/>
      <c r="B26" s="11"/>
      <c r="C26" s="15"/>
      <c r="D26" s="11"/>
      <c r="E26" s="11"/>
      <c r="F26" s="11"/>
      <c r="G26" s="11"/>
      <c r="H26" s="11"/>
    </row>
    <row r="27" customFormat="false" ht="15" hidden="false" customHeight="false" outlineLevel="0" collapsed="false">
      <c r="A27" s="11"/>
      <c r="B27" s="11"/>
      <c r="C27" s="15"/>
      <c r="D27" s="11"/>
      <c r="E27" s="11"/>
      <c r="F27" s="11"/>
      <c r="G27" s="11"/>
      <c r="H27" s="11"/>
    </row>
    <row r="28" customFormat="false" ht="15" hidden="false" customHeight="false" outlineLevel="0" collapsed="false">
      <c r="A28" s="11"/>
      <c r="B28" s="11"/>
      <c r="C28" s="15"/>
      <c r="D28" s="11"/>
      <c r="E28" s="11"/>
      <c r="F28" s="11"/>
      <c r="G28" s="11"/>
      <c r="H28" s="11"/>
    </row>
    <row r="29" customFormat="false" ht="15" hidden="false" customHeight="false" outlineLevel="0" collapsed="false">
      <c r="A29" s="11"/>
      <c r="B29" s="11"/>
      <c r="C29" s="15"/>
      <c r="D29" s="11"/>
      <c r="E29" s="11"/>
      <c r="F29" s="11"/>
      <c r="G29" s="11"/>
      <c r="H29" s="11"/>
    </row>
    <row r="30" customFormat="false" ht="15" hidden="false" customHeight="false" outlineLevel="0" collapsed="false">
      <c r="A30" s="11"/>
      <c r="B30" s="11"/>
      <c r="C30" s="15"/>
      <c r="D30" s="11"/>
      <c r="E30" s="11"/>
      <c r="F30" s="11"/>
      <c r="G30" s="11"/>
      <c r="H30" s="11"/>
    </row>
    <row r="31" customFormat="false" ht="15" hidden="false" customHeight="false" outlineLevel="0" collapsed="false">
      <c r="A31" s="11"/>
      <c r="B31" s="11"/>
      <c r="C31" s="15"/>
      <c r="D31" s="11"/>
      <c r="E31" s="11"/>
      <c r="F31" s="11"/>
      <c r="G31" s="11"/>
      <c r="H31" s="11"/>
    </row>
    <row r="32" customFormat="false" ht="15" hidden="false" customHeight="false" outlineLevel="0" collapsed="false">
      <c r="A32" s="11"/>
      <c r="B32" s="11"/>
      <c r="C32" s="15"/>
      <c r="D32" s="11"/>
      <c r="E32" s="11"/>
      <c r="F32" s="11"/>
      <c r="G32" s="11"/>
      <c r="H32" s="11"/>
    </row>
    <row r="33" customFormat="false" ht="15" hidden="false" customHeight="false" outlineLevel="0" collapsed="false">
      <c r="A33" s="11"/>
      <c r="B33" s="11"/>
      <c r="C33" s="15"/>
      <c r="D33" s="11"/>
      <c r="E33" s="11"/>
      <c r="F33" s="11"/>
      <c r="G33" s="11"/>
      <c r="H33" s="11"/>
    </row>
    <row r="34" customFormat="false" ht="15" hidden="false" customHeight="false" outlineLevel="0" collapsed="false">
      <c r="A34" s="11"/>
      <c r="B34" s="11"/>
      <c r="C34" s="15"/>
      <c r="D34" s="11"/>
      <c r="E34" s="11"/>
      <c r="F34" s="11"/>
      <c r="G34" s="11"/>
      <c r="H34" s="11"/>
    </row>
    <row r="35" customFormat="false" ht="15" hidden="false" customHeight="false" outlineLevel="0" collapsed="false">
      <c r="A35" s="11"/>
      <c r="B35" s="11"/>
      <c r="C35" s="15"/>
      <c r="D35" s="11"/>
      <c r="E35" s="11"/>
      <c r="F35" s="11"/>
      <c r="G35" s="11"/>
      <c r="H35" s="11"/>
    </row>
    <row r="36" customFormat="false" ht="15" hidden="false" customHeight="false" outlineLevel="0" collapsed="false">
      <c r="A36" s="11"/>
      <c r="B36" s="11"/>
      <c r="C36" s="15"/>
      <c r="D36" s="11"/>
      <c r="E36" s="11"/>
      <c r="F36" s="11"/>
      <c r="G36" s="11"/>
      <c r="H36" s="11"/>
    </row>
    <row r="37" customFormat="false" ht="15" hidden="false" customHeight="false" outlineLevel="0" collapsed="false">
      <c r="A37" s="11"/>
      <c r="B37" s="11"/>
      <c r="C37" s="15"/>
      <c r="D37" s="11"/>
      <c r="E37" s="11"/>
      <c r="F37" s="11"/>
      <c r="G37" s="11"/>
      <c r="H37" s="11"/>
    </row>
    <row r="38" customFormat="false" ht="15" hidden="false" customHeight="false" outlineLevel="0" collapsed="false">
      <c r="A38" s="11"/>
      <c r="B38" s="11"/>
      <c r="C38" s="15"/>
      <c r="D38" s="11"/>
      <c r="E38" s="11"/>
      <c r="F38" s="11"/>
      <c r="G38" s="11"/>
      <c r="H38" s="11"/>
    </row>
    <row r="39" customFormat="false" ht="15" hidden="false" customHeight="false" outlineLevel="0" collapsed="false">
      <c r="A39" s="11"/>
      <c r="B39" s="11"/>
      <c r="C39" s="15"/>
      <c r="D39" s="11"/>
      <c r="E39" s="11"/>
      <c r="F39" s="11"/>
      <c r="G39" s="11"/>
      <c r="H39" s="11"/>
    </row>
    <row r="40" customFormat="false" ht="15" hidden="false" customHeight="false" outlineLevel="0" collapsed="false">
      <c r="A40" s="11"/>
      <c r="B40" s="11"/>
      <c r="C40" s="15"/>
      <c r="D40" s="11"/>
      <c r="E40" s="11"/>
      <c r="F40" s="11"/>
      <c r="G40" s="11"/>
      <c r="H40" s="11"/>
    </row>
    <row r="41" customFormat="false" ht="15" hidden="false" customHeight="false" outlineLevel="0" collapsed="false">
      <c r="A41" s="11"/>
      <c r="B41" s="11"/>
      <c r="C41" s="15"/>
      <c r="D41" s="11"/>
      <c r="E41" s="11"/>
      <c r="F41" s="11"/>
      <c r="G41" s="11"/>
      <c r="H41" s="11"/>
    </row>
    <row r="42" customFormat="false" ht="15" hidden="false" customHeight="false" outlineLevel="0" collapsed="false">
      <c r="A42" s="11"/>
      <c r="B42" s="11"/>
      <c r="C42" s="15"/>
      <c r="D42" s="11"/>
      <c r="E42" s="11"/>
      <c r="F42" s="11"/>
      <c r="G42" s="11"/>
      <c r="H42" s="11"/>
    </row>
    <row r="43" customFormat="false" ht="15" hidden="false" customHeight="false" outlineLevel="0" collapsed="false">
      <c r="A43" s="11"/>
      <c r="B43" s="11"/>
      <c r="C43" s="15"/>
      <c r="D43" s="11"/>
      <c r="E43" s="11"/>
      <c r="F43" s="11"/>
      <c r="G43" s="11"/>
      <c r="H43" s="11"/>
    </row>
    <row r="44" customFormat="false" ht="15" hidden="false" customHeight="false" outlineLevel="0" collapsed="false">
      <c r="A44" s="11"/>
      <c r="B44" s="11"/>
      <c r="C44" s="15"/>
      <c r="D44" s="11"/>
      <c r="E44" s="11"/>
      <c r="F44" s="11"/>
      <c r="G44" s="11"/>
      <c r="H44" s="11"/>
    </row>
    <row r="45" customFormat="false" ht="15" hidden="false" customHeight="false" outlineLevel="0" collapsed="false">
      <c r="A45" s="11"/>
      <c r="B45" s="11"/>
      <c r="C45" s="15"/>
      <c r="D45" s="11"/>
      <c r="E45" s="11"/>
      <c r="F45" s="11"/>
      <c r="G45" s="11"/>
      <c r="H45" s="11"/>
    </row>
    <row r="46" customFormat="false" ht="15" hidden="false" customHeight="false" outlineLevel="0" collapsed="false">
      <c r="A46" s="11"/>
      <c r="B46" s="11"/>
      <c r="C46" s="15"/>
      <c r="D46" s="11"/>
      <c r="E46" s="11"/>
      <c r="F46" s="11"/>
      <c r="G46" s="11"/>
      <c r="H46" s="11"/>
    </row>
    <row r="47" customFormat="false" ht="15" hidden="false" customHeight="false" outlineLevel="0" collapsed="false">
      <c r="A47" s="11"/>
      <c r="B47" s="11"/>
      <c r="C47" s="15"/>
      <c r="D47" s="11"/>
      <c r="E47" s="11"/>
      <c r="F47" s="11"/>
      <c r="G47" s="11"/>
      <c r="H47" s="11"/>
    </row>
    <row r="48" customFormat="false" ht="15" hidden="false" customHeight="false" outlineLevel="0" collapsed="false">
      <c r="A48" s="11"/>
      <c r="B48" s="11"/>
      <c r="C48" s="15"/>
      <c r="D48" s="11"/>
      <c r="E48" s="11"/>
      <c r="F48" s="11"/>
      <c r="G48" s="11"/>
      <c r="H48" s="11"/>
    </row>
    <row r="49" customFormat="false" ht="15" hidden="false" customHeight="false" outlineLevel="0" collapsed="false">
      <c r="A49" s="11"/>
      <c r="B49" s="11"/>
      <c r="C49" s="15"/>
      <c r="D49" s="11"/>
      <c r="E49" s="11"/>
      <c r="F49" s="11"/>
      <c r="G49" s="11"/>
      <c r="H49" s="11"/>
    </row>
    <row r="50" customFormat="false" ht="15" hidden="false" customHeight="false" outlineLevel="0" collapsed="false">
      <c r="A50" s="11"/>
      <c r="B50" s="11"/>
      <c r="C50" s="15"/>
      <c r="D50" s="11"/>
      <c r="E50" s="11"/>
      <c r="F50" s="11"/>
      <c r="G50" s="11"/>
      <c r="H50" s="11"/>
    </row>
    <row r="51" customFormat="false" ht="15" hidden="false" customHeight="false" outlineLevel="0" collapsed="false">
      <c r="A51" s="11"/>
      <c r="B51" s="11"/>
      <c r="C51" s="15"/>
      <c r="D51" s="11"/>
      <c r="E51" s="11"/>
      <c r="F51" s="11"/>
      <c r="G51" s="11"/>
      <c r="H51" s="11"/>
    </row>
    <row r="52" customFormat="false" ht="15" hidden="false" customHeight="false" outlineLevel="0" collapsed="false">
      <c r="A52" s="11"/>
      <c r="B52" s="11"/>
      <c r="C52" s="15"/>
      <c r="D52" s="11"/>
      <c r="E52" s="11"/>
      <c r="F52" s="11"/>
      <c r="G52" s="11"/>
      <c r="H52" s="11"/>
    </row>
    <row r="53" customFormat="false" ht="15" hidden="false" customHeight="false" outlineLevel="0" collapsed="false">
      <c r="A53" s="11"/>
      <c r="B53" s="11"/>
      <c r="C53" s="15"/>
      <c r="D53" s="11"/>
      <c r="E53" s="11"/>
      <c r="F53" s="11"/>
      <c r="G53" s="11"/>
      <c r="H53" s="11"/>
    </row>
    <row r="54" customFormat="false" ht="15" hidden="false" customHeight="false" outlineLevel="0" collapsed="false">
      <c r="A54" s="11"/>
      <c r="B54" s="11"/>
      <c r="C54" s="15"/>
      <c r="D54" s="11"/>
      <c r="E54" s="11"/>
      <c r="F54" s="11"/>
      <c r="G54" s="11"/>
      <c r="H54" s="11"/>
    </row>
    <row r="55" customFormat="false" ht="15" hidden="false" customHeight="false" outlineLevel="0" collapsed="false">
      <c r="A55" s="11"/>
      <c r="B55" s="11"/>
      <c r="C55" s="15"/>
      <c r="D55" s="11"/>
      <c r="E55" s="11"/>
      <c r="F55" s="11"/>
      <c r="G55" s="11"/>
      <c r="H55" s="11"/>
    </row>
    <row r="56" customFormat="false" ht="15" hidden="false" customHeight="false" outlineLevel="0" collapsed="false">
      <c r="A56" s="11"/>
      <c r="B56" s="11"/>
      <c r="C56" s="15"/>
      <c r="D56" s="11"/>
      <c r="E56" s="11"/>
      <c r="F56" s="11"/>
      <c r="G56" s="11"/>
      <c r="H56" s="11"/>
    </row>
    <row r="57" customFormat="false" ht="15" hidden="false" customHeight="false" outlineLevel="0" collapsed="false">
      <c r="A57" s="11"/>
      <c r="B57" s="11"/>
      <c r="C57" s="15"/>
      <c r="D57" s="11"/>
      <c r="E57" s="11"/>
      <c r="F57" s="11"/>
      <c r="G57" s="11"/>
      <c r="H57" s="11"/>
    </row>
    <row r="58" customFormat="false" ht="15" hidden="false" customHeight="false" outlineLevel="0" collapsed="false">
      <c r="A58" s="11"/>
      <c r="B58" s="11"/>
      <c r="C58" s="15"/>
      <c r="D58" s="11"/>
      <c r="E58" s="11"/>
      <c r="F58" s="11"/>
      <c r="G58" s="11"/>
      <c r="H58" s="11"/>
    </row>
    <row r="59" customFormat="false" ht="15" hidden="false" customHeight="false" outlineLevel="0" collapsed="false">
      <c r="A59" s="11"/>
      <c r="B59" s="11"/>
      <c r="C59" s="15"/>
      <c r="D59" s="11"/>
      <c r="E59" s="11"/>
      <c r="F59" s="11"/>
      <c r="G59" s="11"/>
      <c r="H59" s="11"/>
    </row>
    <row r="60" customFormat="false" ht="15" hidden="false" customHeight="false" outlineLevel="0" collapsed="false">
      <c r="A60" s="11"/>
      <c r="B60" s="11"/>
      <c r="C60" s="15"/>
      <c r="D60" s="11"/>
      <c r="E60" s="11"/>
      <c r="F60" s="11"/>
      <c r="G60" s="11"/>
      <c r="H60" s="11"/>
    </row>
    <row r="61" customFormat="false" ht="15" hidden="false" customHeight="false" outlineLevel="0" collapsed="false">
      <c r="A61" s="11"/>
      <c r="B61" s="11"/>
      <c r="C61" s="15"/>
      <c r="D61" s="11"/>
      <c r="E61" s="11"/>
      <c r="F61" s="11"/>
      <c r="G61" s="11"/>
      <c r="H61" s="11"/>
    </row>
  </sheetData>
  <dataValidations count="2">
    <dataValidation allowBlank="true" error="Escriba Sí o No" errorStyle="stop" errorTitle="Valor no válido" operator="between" showDropDown="false" showErrorMessage="true" showInputMessage="false" sqref="E2:G61" type="list">
      <formula1>"Sí,No"</formula1>
      <formula2>0</formula2>
    </dataValidation>
    <dataValidation allowBlank="true" error="Entre 1 y 4 piezas" errorStyle="stop" operator="between" showDropDown="false" showErrorMessage="true" showInputMessage="false" sqref="D2:D61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5" min="4" style="0" width="20"/>
    <col collapsed="false" customWidth="true" hidden="false" outlineLevel="0" max="6" min="6" style="0" width="34"/>
    <col collapsed="false" customWidth="true" hidden="false" outlineLevel="0" max="7" min="7" style="0" width="22"/>
  </cols>
  <sheetData>
    <row r="1" customFormat="false" ht="42" hidden="false" customHeight="true" outlineLevel="0" collapsed="false">
      <c r="A1" s="10" t="s">
        <v>73</v>
      </c>
      <c r="B1" s="10" t="s">
        <v>74</v>
      </c>
      <c r="C1" s="10" t="s">
        <v>75</v>
      </c>
      <c r="D1" s="10" t="s">
        <v>76</v>
      </c>
      <c r="E1" s="10" t="s">
        <v>77</v>
      </c>
      <c r="F1" s="10" t="s">
        <v>78</v>
      </c>
      <c r="G1" s="10" t="s">
        <v>79</v>
      </c>
    </row>
    <row r="2" customFormat="false" ht="15" hidden="false" customHeight="false" outlineLevel="0" collapsed="false">
      <c r="A2" s="12" t="str">
        <f aca="false">IF(Perforaciones!A2="","",Perforaciones!A2)</f>
        <v>HLX</v>
      </c>
      <c r="B2" s="12" t="str">
        <f aca="false">IF(Perforaciones!A2="","",Perforaciones!B2)</f>
        <v>Hélix</v>
      </c>
      <c r="C2" s="16" t="n">
        <f aca="false">IF(Perforaciones!A2="","",Perforaciones!C2)</f>
        <v>350</v>
      </c>
      <c r="D2" s="14" t="n">
        <v>450</v>
      </c>
      <c r="E2" s="14" t="n">
        <v>550</v>
      </c>
      <c r="F2" s="12" t="str">
        <f aca="false">IF(Perforaciones!A2="","",IF(Perforaciones!G2="Sí","Servicio + precio de la pieza","No acepta titanio"))</f>
        <v>Servicio + precio de la pieza</v>
      </c>
      <c r="G2" s="12" t="str">
        <f aca="false">IF(Perforaciones!A2="","",IF(AND(Perforaciones!E2="Sí",D2=""),"Falta precio clásica",IF(AND(Perforaciones!F2="Sí",E2=""),"Falta precio lujo","OK")))</f>
        <v>OK</v>
      </c>
    </row>
    <row r="3" customFormat="false" ht="15" hidden="false" customHeight="false" outlineLevel="0" collapsed="false">
      <c r="A3" s="12" t="str">
        <f aca="false">IF(Perforaciones!A3="","",Perforaciones!A3)</f>
        <v/>
      </c>
      <c r="B3" s="12" t="str">
        <f aca="false">IF(Perforaciones!A3="","",Perforaciones!B3)</f>
        <v/>
      </c>
      <c r="C3" s="16" t="str">
        <f aca="false">IF(Perforaciones!A3="","",Perforaciones!C3)</f>
        <v/>
      </c>
      <c r="D3" s="15"/>
      <c r="E3" s="15"/>
      <c r="F3" s="12" t="str">
        <f aca="false">IF(Perforaciones!A3="","",IF(Perforaciones!G3="Sí","Servicio + precio de la pieza","No acepta titanio"))</f>
        <v/>
      </c>
      <c r="G3" s="12" t="str">
        <f aca="false">IF(Perforaciones!A3="","",IF(AND(Perforaciones!E3="Sí",D3=""),"Falta precio clásica",IF(AND(Perforaciones!F3="Sí",E3=""),"Falta precio lujo","OK")))</f>
        <v/>
      </c>
    </row>
    <row r="4" customFormat="false" ht="15" hidden="false" customHeight="false" outlineLevel="0" collapsed="false">
      <c r="A4" s="12" t="str">
        <f aca="false">IF(Perforaciones!A4="","",Perforaciones!A4)</f>
        <v/>
      </c>
      <c r="B4" s="12" t="str">
        <f aca="false">IF(Perforaciones!A4="","",Perforaciones!B4)</f>
        <v/>
      </c>
      <c r="C4" s="16" t="str">
        <f aca="false">IF(Perforaciones!A4="","",Perforaciones!C4)</f>
        <v/>
      </c>
      <c r="D4" s="15"/>
      <c r="E4" s="15"/>
      <c r="F4" s="12" t="str">
        <f aca="false">IF(Perforaciones!A4="","",IF(Perforaciones!G4="Sí","Servicio + precio de la pieza","No acepta titanio"))</f>
        <v/>
      </c>
      <c r="G4" s="12" t="str">
        <f aca="false">IF(Perforaciones!A4="","",IF(AND(Perforaciones!E4="Sí",D4=""),"Falta precio clásica",IF(AND(Perforaciones!F4="Sí",E4=""),"Falta precio lujo","OK")))</f>
        <v/>
      </c>
    </row>
    <row r="5" customFormat="false" ht="15" hidden="false" customHeight="false" outlineLevel="0" collapsed="false">
      <c r="A5" s="12" t="str">
        <f aca="false">IF(Perforaciones!A5="","",Perforaciones!A5)</f>
        <v/>
      </c>
      <c r="B5" s="12" t="str">
        <f aca="false">IF(Perforaciones!A5="","",Perforaciones!B5)</f>
        <v/>
      </c>
      <c r="C5" s="16" t="str">
        <f aca="false">IF(Perforaciones!A5="","",Perforaciones!C5)</f>
        <v/>
      </c>
      <c r="D5" s="15"/>
      <c r="E5" s="15"/>
      <c r="F5" s="12" t="str">
        <f aca="false">IF(Perforaciones!A5="","",IF(Perforaciones!G5="Sí","Servicio + precio de la pieza","No acepta titanio"))</f>
        <v/>
      </c>
      <c r="G5" s="12" t="str">
        <f aca="false">IF(Perforaciones!A5="","",IF(AND(Perforaciones!E5="Sí",D5=""),"Falta precio clásica",IF(AND(Perforaciones!F5="Sí",E5=""),"Falta precio lujo","OK")))</f>
        <v/>
      </c>
    </row>
    <row r="6" customFormat="false" ht="15" hidden="false" customHeight="false" outlineLevel="0" collapsed="false">
      <c r="A6" s="12" t="str">
        <f aca="false">IF(Perforaciones!A6="","",Perforaciones!A6)</f>
        <v/>
      </c>
      <c r="B6" s="12" t="str">
        <f aca="false">IF(Perforaciones!A6="","",Perforaciones!B6)</f>
        <v/>
      </c>
      <c r="C6" s="16" t="str">
        <f aca="false">IF(Perforaciones!A6="","",Perforaciones!C6)</f>
        <v/>
      </c>
      <c r="D6" s="15"/>
      <c r="E6" s="15"/>
      <c r="F6" s="12" t="str">
        <f aca="false">IF(Perforaciones!A6="","",IF(Perforaciones!G6="Sí","Servicio + precio de la pieza","No acepta titanio"))</f>
        <v/>
      </c>
      <c r="G6" s="12" t="str">
        <f aca="false">IF(Perforaciones!A6="","",IF(AND(Perforaciones!E6="Sí",D6=""),"Falta precio clásica",IF(AND(Perforaciones!F6="Sí",E6=""),"Falta precio lujo","OK")))</f>
        <v/>
      </c>
    </row>
    <row r="7" customFormat="false" ht="15" hidden="false" customHeight="false" outlineLevel="0" collapsed="false">
      <c r="A7" s="12" t="str">
        <f aca="false">IF(Perforaciones!A7="","",Perforaciones!A7)</f>
        <v/>
      </c>
      <c r="B7" s="12" t="str">
        <f aca="false">IF(Perforaciones!A7="","",Perforaciones!B7)</f>
        <v/>
      </c>
      <c r="C7" s="16" t="str">
        <f aca="false">IF(Perforaciones!A7="","",Perforaciones!C7)</f>
        <v/>
      </c>
      <c r="D7" s="15"/>
      <c r="E7" s="15"/>
      <c r="F7" s="12" t="str">
        <f aca="false">IF(Perforaciones!A7="","",IF(Perforaciones!G7="Sí","Servicio + precio de la pieza","No acepta titanio"))</f>
        <v/>
      </c>
      <c r="G7" s="12" t="str">
        <f aca="false">IF(Perforaciones!A7="","",IF(AND(Perforaciones!E7="Sí",D7=""),"Falta precio clásica",IF(AND(Perforaciones!F7="Sí",E7=""),"Falta precio lujo","OK")))</f>
        <v/>
      </c>
    </row>
    <row r="8" customFormat="false" ht="15" hidden="false" customHeight="false" outlineLevel="0" collapsed="false">
      <c r="A8" s="12" t="str">
        <f aca="false">IF(Perforaciones!A8="","",Perforaciones!A8)</f>
        <v/>
      </c>
      <c r="B8" s="12" t="str">
        <f aca="false">IF(Perforaciones!A8="","",Perforaciones!B8)</f>
        <v/>
      </c>
      <c r="C8" s="16" t="str">
        <f aca="false">IF(Perforaciones!A8="","",Perforaciones!C8)</f>
        <v/>
      </c>
      <c r="D8" s="15"/>
      <c r="E8" s="15"/>
      <c r="F8" s="12" t="str">
        <f aca="false">IF(Perforaciones!A8="","",IF(Perforaciones!G8="Sí","Servicio + precio de la pieza","No acepta titanio"))</f>
        <v/>
      </c>
      <c r="G8" s="12" t="str">
        <f aca="false">IF(Perforaciones!A8="","",IF(AND(Perforaciones!E8="Sí",D8=""),"Falta precio clásica",IF(AND(Perforaciones!F8="Sí",E8=""),"Falta precio lujo","OK")))</f>
        <v/>
      </c>
    </row>
    <row r="9" customFormat="false" ht="15" hidden="false" customHeight="false" outlineLevel="0" collapsed="false">
      <c r="A9" s="12" t="str">
        <f aca="false">IF(Perforaciones!A9="","",Perforaciones!A9)</f>
        <v/>
      </c>
      <c r="B9" s="12" t="str">
        <f aca="false">IF(Perforaciones!A9="","",Perforaciones!B9)</f>
        <v/>
      </c>
      <c r="C9" s="16" t="str">
        <f aca="false">IF(Perforaciones!A9="","",Perforaciones!C9)</f>
        <v/>
      </c>
      <c r="D9" s="15"/>
      <c r="E9" s="15"/>
      <c r="F9" s="12" t="str">
        <f aca="false">IF(Perforaciones!A9="","",IF(Perforaciones!G9="Sí","Servicio + precio de la pieza","No acepta titanio"))</f>
        <v/>
      </c>
      <c r="G9" s="12" t="str">
        <f aca="false">IF(Perforaciones!A9="","",IF(AND(Perforaciones!E9="Sí",D9=""),"Falta precio clásica",IF(AND(Perforaciones!F9="Sí",E9=""),"Falta precio lujo","OK")))</f>
        <v/>
      </c>
    </row>
    <row r="10" customFormat="false" ht="15" hidden="false" customHeight="false" outlineLevel="0" collapsed="false">
      <c r="A10" s="12" t="str">
        <f aca="false">IF(Perforaciones!A10="","",Perforaciones!A10)</f>
        <v/>
      </c>
      <c r="B10" s="12" t="str">
        <f aca="false">IF(Perforaciones!A10="","",Perforaciones!B10)</f>
        <v/>
      </c>
      <c r="C10" s="16" t="str">
        <f aca="false">IF(Perforaciones!A10="","",Perforaciones!C10)</f>
        <v/>
      </c>
      <c r="D10" s="15"/>
      <c r="E10" s="15"/>
      <c r="F10" s="12" t="str">
        <f aca="false">IF(Perforaciones!A10="","",IF(Perforaciones!G10="Sí","Servicio + precio de la pieza","No acepta titanio"))</f>
        <v/>
      </c>
      <c r="G10" s="12" t="str">
        <f aca="false">IF(Perforaciones!A10="","",IF(AND(Perforaciones!E10="Sí",D10=""),"Falta precio clásica",IF(AND(Perforaciones!F10="Sí",E10=""),"Falta precio lujo","OK")))</f>
        <v/>
      </c>
    </row>
    <row r="11" customFormat="false" ht="15" hidden="false" customHeight="false" outlineLevel="0" collapsed="false">
      <c r="A11" s="12" t="str">
        <f aca="false">IF(Perforaciones!A11="","",Perforaciones!A11)</f>
        <v/>
      </c>
      <c r="B11" s="12" t="str">
        <f aca="false">IF(Perforaciones!A11="","",Perforaciones!B11)</f>
        <v/>
      </c>
      <c r="C11" s="16" t="str">
        <f aca="false">IF(Perforaciones!A11="","",Perforaciones!C11)</f>
        <v/>
      </c>
      <c r="D11" s="15"/>
      <c r="E11" s="15"/>
      <c r="F11" s="12" t="str">
        <f aca="false">IF(Perforaciones!A11="","",IF(Perforaciones!G11="Sí","Servicio + precio de la pieza","No acepta titanio"))</f>
        <v/>
      </c>
      <c r="G11" s="12" t="str">
        <f aca="false">IF(Perforaciones!A11="","",IF(AND(Perforaciones!E11="Sí",D11=""),"Falta precio clásica",IF(AND(Perforaciones!F11="Sí",E11=""),"Falta precio lujo","OK")))</f>
        <v/>
      </c>
    </row>
    <row r="12" customFormat="false" ht="15" hidden="false" customHeight="false" outlineLevel="0" collapsed="false">
      <c r="A12" s="12" t="str">
        <f aca="false">IF(Perforaciones!A12="","",Perforaciones!A12)</f>
        <v/>
      </c>
      <c r="B12" s="12" t="str">
        <f aca="false">IF(Perforaciones!A12="","",Perforaciones!B12)</f>
        <v/>
      </c>
      <c r="C12" s="16" t="str">
        <f aca="false">IF(Perforaciones!A12="","",Perforaciones!C12)</f>
        <v/>
      </c>
      <c r="D12" s="15"/>
      <c r="E12" s="15"/>
      <c r="F12" s="12" t="str">
        <f aca="false">IF(Perforaciones!A12="","",IF(Perforaciones!G12="Sí","Servicio + precio de la pieza","No acepta titanio"))</f>
        <v/>
      </c>
      <c r="G12" s="12" t="str">
        <f aca="false">IF(Perforaciones!A12="","",IF(AND(Perforaciones!E12="Sí",D12=""),"Falta precio clásica",IF(AND(Perforaciones!F12="Sí",E12=""),"Falta precio lujo","OK")))</f>
        <v/>
      </c>
    </row>
    <row r="13" customFormat="false" ht="15" hidden="false" customHeight="false" outlineLevel="0" collapsed="false">
      <c r="A13" s="12" t="str">
        <f aca="false">IF(Perforaciones!A13="","",Perforaciones!A13)</f>
        <v/>
      </c>
      <c r="B13" s="12" t="str">
        <f aca="false">IF(Perforaciones!A13="","",Perforaciones!B13)</f>
        <v/>
      </c>
      <c r="C13" s="16" t="str">
        <f aca="false">IF(Perforaciones!A13="","",Perforaciones!C13)</f>
        <v/>
      </c>
      <c r="D13" s="15"/>
      <c r="E13" s="15"/>
      <c r="F13" s="12" t="str">
        <f aca="false">IF(Perforaciones!A13="","",IF(Perforaciones!G13="Sí","Servicio + precio de la pieza","No acepta titanio"))</f>
        <v/>
      </c>
      <c r="G13" s="12" t="str">
        <f aca="false">IF(Perforaciones!A13="","",IF(AND(Perforaciones!E13="Sí",D13=""),"Falta precio clásica",IF(AND(Perforaciones!F13="Sí",E13=""),"Falta precio lujo","OK")))</f>
        <v/>
      </c>
    </row>
    <row r="14" customFormat="false" ht="15" hidden="false" customHeight="false" outlineLevel="0" collapsed="false">
      <c r="A14" s="12" t="str">
        <f aca="false">IF(Perforaciones!A14="","",Perforaciones!A14)</f>
        <v/>
      </c>
      <c r="B14" s="12" t="str">
        <f aca="false">IF(Perforaciones!A14="","",Perforaciones!B14)</f>
        <v/>
      </c>
      <c r="C14" s="16" t="str">
        <f aca="false">IF(Perforaciones!A14="","",Perforaciones!C14)</f>
        <v/>
      </c>
      <c r="D14" s="15"/>
      <c r="E14" s="15"/>
      <c r="F14" s="12" t="str">
        <f aca="false">IF(Perforaciones!A14="","",IF(Perforaciones!G14="Sí","Servicio + precio de la pieza","No acepta titanio"))</f>
        <v/>
      </c>
      <c r="G14" s="12" t="str">
        <f aca="false">IF(Perforaciones!A14="","",IF(AND(Perforaciones!E14="Sí",D14=""),"Falta precio clásica",IF(AND(Perforaciones!F14="Sí",E14=""),"Falta precio lujo","OK")))</f>
        <v/>
      </c>
    </row>
    <row r="15" customFormat="false" ht="15" hidden="false" customHeight="false" outlineLevel="0" collapsed="false">
      <c r="A15" s="12" t="str">
        <f aca="false">IF(Perforaciones!A15="","",Perforaciones!A15)</f>
        <v/>
      </c>
      <c r="B15" s="12" t="str">
        <f aca="false">IF(Perforaciones!A15="","",Perforaciones!B15)</f>
        <v/>
      </c>
      <c r="C15" s="16" t="str">
        <f aca="false">IF(Perforaciones!A15="","",Perforaciones!C15)</f>
        <v/>
      </c>
      <c r="D15" s="15"/>
      <c r="E15" s="15"/>
      <c r="F15" s="12" t="str">
        <f aca="false">IF(Perforaciones!A15="","",IF(Perforaciones!G15="Sí","Servicio + precio de la pieza","No acepta titanio"))</f>
        <v/>
      </c>
      <c r="G15" s="12" t="str">
        <f aca="false">IF(Perforaciones!A15="","",IF(AND(Perforaciones!E15="Sí",D15=""),"Falta precio clásica",IF(AND(Perforaciones!F15="Sí",E15=""),"Falta precio lujo","OK")))</f>
        <v/>
      </c>
    </row>
    <row r="16" customFormat="false" ht="15" hidden="false" customHeight="false" outlineLevel="0" collapsed="false">
      <c r="A16" s="12" t="str">
        <f aca="false">IF(Perforaciones!A16="","",Perforaciones!A16)</f>
        <v/>
      </c>
      <c r="B16" s="12" t="str">
        <f aca="false">IF(Perforaciones!A16="","",Perforaciones!B16)</f>
        <v/>
      </c>
      <c r="C16" s="16" t="str">
        <f aca="false">IF(Perforaciones!A16="","",Perforaciones!C16)</f>
        <v/>
      </c>
      <c r="D16" s="15"/>
      <c r="E16" s="15"/>
      <c r="F16" s="12" t="str">
        <f aca="false">IF(Perforaciones!A16="","",IF(Perforaciones!G16="Sí","Servicio + precio de la pieza","No acepta titanio"))</f>
        <v/>
      </c>
      <c r="G16" s="12" t="str">
        <f aca="false">IF(Perforaciones!A16="","",IF(AND(Perforaciones!E16="Sí",D16=""),"Falta precio clásica",IF(AND(Perforaciones!F16="Sí",E16=""),"Falta precio lujo","OK")))</f>
        <v/>
      </c>
    </row>
    <row r="17" customFormat="false" ht="15" hidden="false" customHeight="false" outlineLevel="0" collapsed="false">
      <c r="A17" s="12" t="str">
        <f aca="false">IF(Perforaciones!A17="","",Perforaciones!A17)</f>
        <v/>
      </c>
      <c r="B17" s="12" t="str">
        <f aca="false">IF(Perforaciones!A17="","",Perforaciones!B17)</f>
        <v/>
      </c>
      <c r="C17" s="16" t="str">
        <f aca="false">IF(Perforaciones!A17="","",Perforaciones!C17)</f>
        <v/>
      </c>
      <c r="D17" s="15"/>
      <c r="E17" s="15"/>
      <c r="F17" s="12" t="str">
        <f aca="false">IF(Perforaciones!A17="","",IF(Perforaciones!G17="Sí","Servicio + precio de la pieza","No acepta titanio"))</f>
        <v/>
      </c>
      <c r="G17" s="12" t="str">
        <f aca="false">IF(Perforaciones!A17="","",IF(AND(Perforaciones!E17="Sí",D17=""),"Falta precio clásica",IF(AND(Perforaciones!F17="Sí",E17=""),"Falta precio lujo","OK")))</f>
        <v/>
      </c>
    </row>
    <row r="18" customFormat="false" ht="15" hidden="false" customHeight="false" outlineLevel="0" collapsed="false">
      <c r="A18" s="12" t="str">
        <f aca="false">IF(Perforaciones!A18="","",Perforaciones!A18)</f>
        <v/>
      </c>
      <c r="B18" s="12" t="str">
        <f aca="false">IF(Perforaciones!A18="","",Perforaciones!B18)</f>
        <v/>
      </c>
      <c r="C18" s="16" t="str">
        <f aca="false">IF(Perforaciones!A18="","",Perforaciones!C18)</f>
        <v/>
      </c>
      <c r="D18" s="15"/>
      <c r="E18" s="15"/>
      <c r="F18" s="12" t="str">
        <f aca="false">IF(Perforaciones!A18="","",IF(Perforaciones!G18="Sí","Servicio + precio de la pieza","No acepta titanio"))</f>
        <v/>
      </c>
      <c r="G18" s="12" t="str">
        <f aca="false">IF(Perforaciones!A18="","",IF(AND(Perforaciones!E18="Sí",D18=""),"Falta precio clásica",IF(AND(Perforaciones!F18="Sí",E18=""),"Falta precio lujo","OK")))</f>
        <v/>
      </c>
    </row>
    <row r="19" customFormat="false" ht="15" hidden="false" customHeight="false" outlineLevel="0" collapsed="false">
      <c r="A19" s="12" t="str">
        <f aca="false">IF(Perforaciones!A19="","",Perforaciones!A19)</f>
        <v/>
      </c>
      <c r="B19" s="12" t="str">
        <f aca="false">IF(Perforaciones!A19="","",Perforaciones!B19)</f>
        <v/>
      </c>
      <c r="C19" s="16" t="str">
        <f aca="false">IF(Perforaciones!A19="","",Perforaciones!C19)</f>
        <v/>
      </c>
      <c r="D19" s="15"/>
      <c r="E19" s="15"/>
      <c r="F19" s="12" t="str">
        <f aca="false">IF(Perforaciones!A19="","",IF(Perforaciones!G19="Sí","Servicio + precio de la pieza","No acepta titanio"))</f>
        <v/>
      </c>
      <c r="G19" s="12" t="str">
        <f aca="false">IF(Perforaciones!A19="","",IF(AND(Perforaciones!E19="Sí",D19=""),"Falta precio clásica",IF(AND(Perforaciones!F19="Sí",E19=""),"Falta precio lujo","OK")))</f>
        <v/>
      </c>
    </row>
    <row r="20" customFormat="false" ht="15" hidden="false" customHeight="false" outlineLevel="0" collapsed="false">
      <c r="A20" s="12" t="str">
        <f aca="false">IF(Perforaciones!A20="","",Perforaciones!A20)</f>
        <v/>
      </c>
      <c r="B20" s="12" t="str">
        <f aca="false">IF(Perforaciones!A20="","",Perforaciones!B20)</f>
        <v/>
      </c>
      <c r="C20" s="16" t="str">
        <f aca="false">IF(Perforaciones!A20="","",Perforaciones!C20)</f>
        <v/>
      </c>
      <c r="D20" s="15"/>
      <c r="E20" s="15"/>
      <c r="F20" s="12" t="str">
        <f aca="false">IF(Perforaciones!A20="","",IF(Perforaciones!G20="Sí","Servicio + precio de la pieza","No acepta titanio"))</f>
        <v/>
      </c>
      <c r="G20" s="12" t="str">
        <f aca="false">IF(Perforaciones!A20="","",IF(AND(Perforaciones!E20="Sí",D20=""),"Falta precio clásica",IF(AND(Perforaciones!F20="Sí",E20=""),"Falta precio lujo","OK")))</f>
        <v/>
      </c>
    </row>
    <row r="21" customFormat="false" ht="15" hidden="false" customHeight="false" outlineLevel="0" collapsed="false">
      <c r="A21" s="12" t="str">
        <f aca="false">IF(Perforaciones!A21="","",Perforaciones!A21)</f>
        <v/>
      </c>
      <c r="B21" s="12" t="str">
        <f aca="false">IF(Perforaciones!A21="","",Perforaciones!B21)</f>
        <v/>
      </c>
      <c r="C21" s="16" t="str">
        <f aca="false">IF(Perforaciones!A21="","",Perforaciones!C21)</f>
        <v/>
      </c>
      <c r="D21" s="15"/>
      <c r="E21" s="15"/>
      <c r="F21" s="12" t="str">
        <f aca="false">IF(Perforaciones!A21="","",IF(Perforaciones!G21="Sí","Servicio + precio de la pieza","No acepta titanio"))</f>
        <v/>
      </c>
      <c r="G21" s="12" t="str">
        <f aca="false">IF(Perforaciones!A21="","",IF(AND(Perforaciones!E21="Sí",D21=""),"Falta precio clásica",IF(AND(Perforaciones!F21="Sí",E21=""),"Falta precio lujo","OK")))</f>
        <v/>
      </c>
    </row>
    <row r="22" customFormat="false" ht="15" hidden="false" customHeight="false" outlineLevel="0" collapsed="false">
      <c r="A22" s="12" t="str">
        <f aca="false">IF(Perforaciones!A22="","",Perforaciones!A22)</f>
        <v/>
      </c>
      <c r="B22" s="12" t="str">
        <f aca="false">IF(Perforaciones!A22="","",Perforaciones!B22)</f>
        <v/>
      </c>
      <c r="C22" s="16" t="str">
        <f aca="false">IF(Perforaciones!A22="","",Perforaciones!C22)</f>
        <v/>
      </c>
      <c r="D22" s="15"/>
      <c r="E22" s="15"/>
      <c r="F22" s="12" t="str">
        <f aca="false">IF(Perforaciones!A22="","",IF(Perforaciones!G22="Sí","Servicio + precio de la pieza","No acepta titanio"))</f>
        <v/>
      </c>
      <c r="G22" s="12" t="str">
        <f aca="false">IF(Perforaciones!A22="","",IF(AND(Perforaciones!E22="Sí",D22=""),"Falta precio clásica",IF(AND(Perforaciones!F22="Sí",E22=""),"Falta precio lujo","OK")))</f>
        <v/>
      </c>
    </row>
    <row r="23" customFormat="false" ht="15" hidden="false" customHeight="false" outlineLevel="0" collapsed="false">
      <c r="A23" s="12" t="str">
        <f aca="false">IF(Perforaciones!A23="","",Perforaciones!A23)</f>
        <v/>
      </c>
      <c r="B23" s="12" t="str">
        <f aca="false">IF(Perforaciones!A23="","",Perforaciones!B23)</f>
        <v/>
      </c>
      <c r="C23" s="16" t="str">
        <f aca="false">IF(Perforaciones!A23="","",Perforaciones!C23)</f>
        <v/>
      </c>
      <c r="D23" s="15"/>
      <c r="E23" s="15"/>
      <c r="F23" s="12" t="str">
        <f aca="false">IF(Perforaciones!A23="","",IF(Perforaciones!G23="Sí","Servicio + precio de la pieza","No acepta titanio"))</f>
        <v/>
      </c>
      <c r="G23" s="12" t="str">
        <f aca="false">IF(Perforaciones!A23="","",IF(AND(Perforaciones!E23="Sí",D23=""),"Falta precio clásica",IF(AND(Perforaciones!F23="Sí",E23=""),"Falta precio lujo","OK")))</f>
        <v/>
      </c>
    </row>
    <row r="24" customFormat="false" ht="15" hidden="false" customHeight="false" outlineLevel="0" collapsed="false">
      <c r="A24" s="12" t="str">
        <f aca="false">IF(Perforaciones!A24="","",Perforaciones!A24)</f>
        <v/>
      </c>
      <c r="B24" s="12" t="str">
        <f aca="false">IF(Perforaciones!A24="","",Perforaciones!B24)</f>
        <v/>
      </c>
      <c r="C24" s="16" t="str">
        <f aca="false">IF(Perforaciones!A24="","",Perforaciones!C24)</f>
        <v/>
      </c>
      <c r="D24" s="15"/>
      <c r="E24" s="15"/>
      <c r="F24" s="12" t="str">
        <f aca="false">IF(Perforaciones!A24="","",IF(Perforaciones!G24="Sí","Servicio + precio de la pieza","No acepta titanio"))</f>
        <v/>
      </c>
      <c r="G24" s="12" t="str">
        <f aca="false">IF(Perforaciones!A24="","",IF(AND(Perforaciones!E24="Sí",D24=""),"Falta precio clásica",IF(AND(Perforaciones!F24="Sí",E24=""),"Falta precio lujo","OK")))</f>
        <v/>
      </c>
    </row>
    <row r="25" customFormat="false" ht="15" hidden="false" customHeight="false" outlineLevel="0" collapsed="false">
      <c r="A25" s="12" t="str">
        <f aca="false">IF(Perforaciones!A25="","",Perforaciones!A25)</f>
        <v/>
      </c>
      <c r="B25" s="12" t="str">
        <f aca="false">IF(Perforaciones!A25="","",Perforaciones!B25)</f>
        <v/>
      </c>
      <c r="C25" s="16" t="str">
        <f aca="false">IF(Perforaciones!A25="","",Perforaciones!C25)</f>
        <v/>
      </c>
      <c r="D25" s="15"/>
      <c r="E25" s="15"/>
      <c r="F25" s="12" t="str">
        <f aca="false">IF(Perforaciones!A25="","",IF(Perforaciones!G25="Sí","Servicio + precio de la pieza","No acepta titanio"))</f>
        <v/>
      </c>
      <c r="G25" s="12" t="str">
        <f aca="false">IF(Perforaciones!A25="","",IF(AND(Perforaciones!E25="Sí",D25=""),"Falta precio clásica",IF(AND(Perforaciones!F25="Sí",E25=""),"Falta precio lujo","OK")))</f>
        <v/>
      </c>
    </row>
    <row r="26" customFormat="false" ht="15" hidden="false" customHeight="false" outlineLevel="0" collapsed="false">
      <c r="A26" s="12" t="str">
        <f aca="false">IF(Perforaciones!A26="","",Perforaciones!A26)</f>
        <v/>
      </c>
      <c r="B26" s="12" t="str">
        <f aca="false">IF(Perforaciones!A26="","",Perforaciones!B26)</f>
        <v/>
      </c>
      <c r="C26" s="16" t="str">
        <f aca="false">IF(Perforaciones!A26="","",Perforaciones!C26)</f>
        <v/>
      </c>
      <c r="D26" s="15"/>
      <c r="E26" s="15"/>
      <c r="F26" s="12" t="str">
        <f aca="false">IF(Perforaciones!A26="","",IF(Perforaciones!G26="Sí","Servicio + precio de la pieza","No acepta titanio"))</f>
        <v/>
      </c>
      <c r="G26" s="12" t="str">
        <f aca="false">IF(Perforaciones!A26="","",IF(AND(Perforaciones!E26="Sí",D26=""),"Falta precio clásica",IF(AND(Perforaciones!F26="Sí",E26=""),"Falta precio lujo","OK")))</f>
        <v/>
      </c>
    </row>
    <row r="27" customFormat="false" ht="15" hidden="false" customHeight="false" outlineLevel="0" collapsed="false">
      <c r="A27" s="12" t="str">
        <f aca="false">IF(Perforaciones!A27="","",Perforaciones!A27)</f>
        <v/>
      </c>
      <c r="B27" s="12" t="str">
        <f aca="false">IF(Perforaciones!A27="","",Perforaciones!B27)</f>
        <v/>
      </c>
      <c r="C27" s="16" t="str">
        <f aca="false">IF(Perforaciones!A27="","",Perforaciones!C27)</f>
        <v/>
      </c>
      <c r="D27" s="15"/>
      <c r="E27" s="15"/>
      <c r="F27" s="12" t="str">
        <f aca="false">IF(Perforaciones!A27="","",IF(Perforaciones!G27="Sí","Servicio + precio de la pieza","No acepta titanio"))</f>
        <v/>
      </c>
      <c r="G27" s="12" t="str">
        <f aca="false">IF(Perforaciones!A27="","",IF(AND(Perforaciones!E27="Sí",D27=""),"Falta precio clásica",IF(AND(Perforaciones!F27="Sí",E27=""),"Falta precio lujo","OK")))</f>
        <v/>
      </c>
    </row>
    <row r="28" customFormat="false" ht="15" hidden="false" customHeight="false" outlineLevel="0" collapsed="false">
      <c r="A28" s="12" t="str">
        <f aca="false">IF(Perforaciones!A28="","",Perforaciones!A28)</f>
        <v/>
      </c>
      <c r="B28" s="12" t="str">
        <f aca="false">IF(Perforaciones!A28="","",Perforaciones!B28)</f>
        <v/>
      </c>
      <c r="C28" s="16" t="str">
        <f aca="false">IF(Perforaciones!A28="","",Perforaciones!C28)</f>
        <v/>
      </c>
      <c r="D28" s="15"/>
      <c r="E28" s="15"/>
      <c r="F28" s="12" t="str">
        <f aca="false">IF(Perforaciones!A28="","",IF(Perforaciones!G28="Sí","Servicio + precio de la pieza","No acepta titanio"))</f>
        <v/>
      </c>
      <c r="G28" s="12" t="str">
        <f aca="false">IF(Perforaciones!A28="","",IF(AND(Perforaciones!E28="Sí",D28=""),"Falta precio clásica",IF(AND(Perforaciones!F28="Sí",E28=""),"Falta precio lujo","OK")))</f>
        <v/>
      </c>
    </row>
    <row r="29" customFormat="false" ht="15" hidden="false" customHeight="false" outlineLevel="0" collapsed="false">
      <c r="A29" s="12" t="str">
        <f aca="false">IF(Perforaciones!A29="","",Perforaciones!A29)</f>
        <v/>
      </c>
      <c r="B29" s="12" t="str">
        <f aca="false">IF(Perforaciones!A29="","",Perforaciones!B29)</f>
        <v/>
      </c>
      <c r="C29" s="16" t="str">
        <f aca="false">IF(Perforaciones!A29="","",Perforaciones!C29)</f>
        <v/>
      </c>
      <c r="D29" s="15"/>
      <c r="E29" s="15"/>
      <c r="F29" s="12" t="str">
        <f aca="false">IF(Perforaciones!A29="","",IF(Perforaciones!G29="Sí","Servicio + precio de la pieza","No acepta titanio"))</f>
        <v/>
      </c>
      <c r="G29" s="12" t="str">
        <f aca="false">IF(Perforaciones!A29="","",IF(AND(Perforaciones!E29="Sí",D29=""),"Falta precio clásica",IF(AND(Perforaciones!F29="Sí",E29=""),"Falta precio lujo","OK")))</f>
        <v/>
      </c>
    </row>
    <row r="30" customFormat="false" ht="15" hidden="false" customHeight="false" outlineLevel="0" collapsed="false">
      <c r="A30" s="12" t="str">
        <f aca="false">IF(Perforaciones!A30="","",Perforaciones!A30)</f>
        <v/>
      </c>
      <c r="B30" s="12" t="str">
        <f aca="false">IF(Perforaciones!A30="","",Perforaciones!B30)</f>
        <v/>
      </c>
      <c r="C30" s="16" t="str">
        <f aca="false">IF(Perforaciones!A30="","",Perforaciones!C30)</f>
        <v/>
      </c>
      <c r="D30" s="15"/>
      <c r="E30" s="15"/>
      <c r="F30" s="12" t="str">
        <f aca="false">IF(Perforaciones!A30="","",IF(Perforaciones!G30="Sí","Servicio + precio de la pieza","No acepta titanio"))</f>
        <v/>
      </c>
      <c r="G30" s="12" t="str">
        <f aca="false">IF(Perforaciones!A30="","",IF(AND(Perforaciones!E30="Sí",D30=""),"Falta precio clásica",IF(AND(Perforaciones!F30="Sí",E30=""),"Falta precio lujo","OK")))</f>
        <v/>
      </c>
    </row>
    <row r="31" customFormat="false" ht="15" hidden="false" customHeight="false" outlineLevel="0" collapsed="false">
      <c r="A31" s="12" t="str">
        <f aca="false">IF(Perforaciones!A31="","",Perforaciones!A31)</f>
        <v/>
      </c>
      <c r="B31" s="12" t="str">
        <f aca="false">IF(Perforaciones!A31="","",Perforaciones!B31)</f>
        <v/>
      </c>
      <c r="C31" s="16" t="str">
        <f aca="false">IF(Perforaciones!A31="","",Perforaciones!C31)</f>
        <v/>
      </c>
      <c r="D31" s="15"/>
      <c r="E31" s="15"/>
      <c r="F31" s="12" t="str">
        <f aca="false">IF(Perforaciones!A31="","",IF(Perforaciones!G31="Sí","Servicio + precio de la pieza","No acepta titanio"))</f>
        <v/>
      </c>
      <c r="G31" s="12" t="str">
        <f aca="false">IF(Perforaciones!A31="","",IF(AND(Perforaciones!E31="Sí",D31=""),"Falta precio clásica",IF(AND(Perforaciones!F31="Sí",E31=""),"Falta precio lujo","OK")))</f>
        <v/>
      </c>
    </row>
    <row r="32" customFormat="false" ht="15" hidden="false" customHeight="false" outlineLevel="0" collapsed="false">
      <c r="A32" s="12" t="str">
        <f aca="false">IF(Perforaciones!A32="","",Perforaciones!A32)</f>
        <v/>
      </c>
      <c r="B32" s="12" t="str">
        <f aca="false">IF(Perforaciones!A32="","",Perforaciones!B32)</f>
        <v/>
      </c>
      <c r="C32" s="16" t="str">
        <f aca="false">IF(Perforaciones!A32="","",Perforaciones!C32)</f>
        <v/>
      </c>
      <c r="D32" s="15"/>
      <c r="E32" s="15"/>
      <c r="F32" s="12" t="str">
        <f aca="false">IF(Perforaciones!A32="","",IF(Perforaciones!G32="Sí","Servicio + precio de la pieza","No acepta titanio"))</f>
        <v/>
      </c>
      <c r="G32" s="12" t="str">
        <f aca="false">IF(Perforaciones!A32="","",IF(AND(Perforaciones!E32="Sí",D32=""),"Falta precio clásica",IF(AND(Perforaciones!F32="Sí",E32=""),"Falta precio lujo","OK")))</f>
        <v/>
      </c>
    </row>
    <row r="33" customFormat="false" ht="15" hidden="false" customHeight="false" outlineLevel="0" collapsed="false">
      <c r="A33" s="12" t="str">
        <f aca="false">IF(Perforaciones!A33="","",Perforaciones!A33)</f>
        <v/>
      </c>
      <c r="B33" s="12" t="str">
        <f aca="false">IF(Perforaciones!A33="","",Perforaciones!B33)</f>
        <v/>
      </c>
      <c r="C33" s="16" t="str">
        <f aca="false">IF(Perforaciones!A33="","",Perforaciones!C33)</f>
        <v/>
      </c>
      <c r="D33" s="15"/>
      <c r="E33" s="15"/>
      <c r="F33" s="12" t="str">
        <f aca="false">IF(Perforaciones!A33="","",IF(Perforaciones!G33="Sí","Servicio + precio de la pieza","No acepta titanio"))</f>
        <v/>
      </c>
      <c r="G33" s="12" t="str">
        <f aca="false">IF(Perforaciones!A33="","",IF(AND(Perforaciones!E33="Sí",D33=""),"Falta precio clásica",IF(AND(Perforaciones!F33="Sí",E33=""),"Falta precio lujo","OK")))</f>
        <v/>
      </c>
    </row>
    <row r="34" customFormat="false" ht="15" hidden="false" customHeight="false" outlineLevel="0" collapsed="false">
      <c r="A34" s="12" t="str">
        <f aca="false">IF(Perforaciones!A34="","",Perforaciones!A34)</f>
        <v/>
      </c>
      <c r="B34" s="12" t="str">
        <f aca="false">IF(Perforaciones!A34="","",Perforaciones!B34)</f>
        <v/>
      </c>
      <c r="C34" s="16" t="str">
        <f aca="false">IF(Perforaciones!A34="","",Perforaciones!C34)</f>
        <v/>
      </c>
      <c r="D34" s="15"/>
      <c r="E34" s="15"/>
      <c r="F34" s="12" t="str">
        <f aca="false">IF(Perforaciones!A34="","",IF(Perforaciones!G34="Sí","Servicio + precio de la pieza","No acepta titanio"))</f>
        <v/>
      </c>
      <c r="G34" s="12" t="str">
        <f aca="false">IF(Perforaciones!A34="","",IF(AND(Perforaciones!E34="Sí",D34=""),"Falta precio clásica",IF(AND(Perforaciones!F34="Sí",E34=""),"Falta precio lujo","OK")))</f>
        <v/>
      </c>
    </row>
    <row r="35" customFormat="false" ht="15" hidden="false" customHeight="false" outlineLevel="0" collapsed="false">
      <c r="A35" s="12" t="str">
        <f aca="false">IF(Perforaciones!A35="","",Perforaciones!A35)</f>
        <v/>
      </c>
      <c r="B35" s="12" t="str">
        <f aca="false">IF(Perforaciones!A35="","",Perforaciones!B35)</f>
        <v/>
      </c>
      <c r="C35" s="16" t="str">
        <f aca="false">IF(Perforaciones!A35="","",Perforaciones!C35)</f>
        <v/>
      </c>
      <c r="D35" s="15"/>
      <c r="E35" s="15"/>
      <c r="F35" s="12" t="str">
        <f aca="false">IF(Perforaciones!A35="","",IF(Perforaciones!G35="Sí","Servicio + precio de la pieza","No acepta titanio"))</f>
        <v/>
      </c>
      <c r="G35" s="12" t="str">
        <f aca="false">IF(Perforaciones!A35="","",IF(AND(Perforaciones!E35="Sí",D35=""),"Falta precio clásica",IF(AND(Perforaciones!F35="Sí",E35=""),"Falta precio lujo","OK")))</f>
        <v/>
      </c>
    </row>
    <row r="36" customFormat="false" ht="15" hidden="false" customHeight="false" outlineLevel="0" collapsed="false">
      <c r="A36" s="12" t="str">
        <f aca="false">IF(Perforaciones!A36="","",Perforaciones!A36)</f>
        <v/>
      </c>
      <c r="B36" s="12" t="str">
        <f aca="false">IF(Perforaciones!A36="","",Perforaciones!B36)</f>
        <v/>
      </c>
      <c r="C36" s="16" t="str">
        <f aca="false">IF(Perforaciones!A36="","",Perforaciones!C36)</f>
        <v/>
      </c>
      <c r="D36" s="15"/>
      <c r="E36" s="15"/>
      <c r="F36" s="12" t="str">
        <f aca="false">IF(Perforaciones!A36="","",IF(Perforaciones!G36="Sí","Servicio + precio de la pieza","No acepta titanio"))</f>
        <v/>
      </c>
      <c r="G36" s="12" t="str">
        <f aca="false">IF(Perforaciones!A36="","",IF(AND(Perforaciones!E36="Sí",D36=""),"Falta precio clásica",IF(AND(Perforaciones!F36="Sí",E36=""),"Falta precio lujo","OK")))</f>
        <v/>
      </c>
    </row>
    <row r="37" customFormat="false" ht="15" hidden="false" customHeight="false" outlineLevel="0" collapsed="false">
      <c r="A37" s="12" t="str">
        <f aca="false">IF(Perforaciones!A37="","",Perforaciones!A37)</f>
        <v/>
      </c>
      <c r="B37" s="12" t="str">
        <f aca="false">IF(Perforaciones!A37="","",Perforaciones!B37)</f>
        <v/>
      </c>
      <c r="C37" s="16" t="str">
        <f aca="false">IF(Perforaciones!A37="","",Perforaciones!C37)</f>
        <v/>
      </c>
      <c r="D37" s="15"/>
      <c r="E37" s="15"/>
      <c r="F37" s="12" t="str">
        <f aca="false">IF(Perforaciones!A37="","",IF(Perforaciones!G37="Sí","Servicio + precio de la pieza","No acepta titanio"))</f>
        <v/>
      </c>
      <c r="G37" s="12" t="str">
        <f aca="false">IF(Perforaciones!A37="","",IF(AND(Perforaciones!E37="Sí",D37=""),"Falta precio clásica",IF(AND(Perforaciones!F37="Sí",E37=""),"Falta precio lujo","OK")))</f>
        <v/>
      </c>
    </row>
    <row r="38" customFormat="false" ht="15" hidden="false" customHeight="false" outlineLevel="0" collapsed="false">
      <c r="A38" s="12" t="str">
        <f aca="false">IF(Perforaciones!A38="","",Perforaciones!A38)</f>
        <v/>
      </c>
      <c r="B38" s="12" t="str">
        <f aca="false">IF(Perforaciones!A38="","",Perforaciones!B38)</f>
        <v/>
      </c>
      <c r="C38" s="16" t="str">
        <f aca="false">IF(Perforaciones!A38="","",Perforaciones!C38)</f>
        <v/>
      </c>
      <c r="D38" s="15"/>
      <c r="E38" s="15"/>
      <c r="F38" s="12" t="str">
        <f aca="false">IF(Perforaciones!A38="","",IF(Perforaciones!G38="Sí","Servicio + precio de la pieza","No acepta titanio"))</f>
        <v/>
      </c>
      <c r="G38" s="12" t="str">
        <f aca="false">IF(Perforaciones!A38="","",IF(AND(Perforaciones!E38="Sí",D38=""),"Falta precio clásica",IF(AND(Perforaciones!F38="Sí",E38=""),"Falta precio lujo","OK")))</f>
        <v/>
      </c>
    </row>
    <row r="39" customFormat="false" ht="15" hidden="false" customHeight="false" outlineLevel="0" collapsed="false">
      <c r="A39" s="12" t="str">
        <f aca="false">IF(Perforaciones!A39="","",Perforaciones!A39)</f>
        <v/>
      </c>
      <c r="B39" s="12" t="str">
        <f aca="false">IF(Perforaciones!A39="","",Perforaciones!B39)</f>
        <v/>
      </c>
      <c r="C39" s="16" t="str">
        <f aca="false">IF(Perforaciones!A39="","",Perforaciones!C39)</f>
        <v/>
      </c>
      <c r="D39" s="15"/>
      <c r="E39" s="15"/>
      <c r="F39" s="12" t="str">
        <f aca="false">IF(Perforaciones!A39="","",IF(Perforaciones!G39="Sí","Servicio + precio de la pieza","No acepta titanio"))</f>
        <v/>
      </c>
      <c r="G39" s="12" t="str">
        <f aca="false">IF(Perforaciones!A39="","",IF(AND(Perforaciones!E39="Sí",D39=""),"Falta precio clásica",IF(AND(Perforaciones!F39="Sí",E39=""),"Falta precio lujo","OK")))</f>
        <v/>
      </c>
    </row>
    <row r="40" customFormat="false" ht="15" hidden="false" customHeight="false" outlineLevel="0" collapsed="false">
      <c r="A40" s="12" t="str">
        <f aca="false">IF(Perforaciones!A40="","",Perforaciones!A40)</f>
        <v/>
      </c>
      <c r="B40" s="12" t="str">
        <f aca="false">IF(Perforaciones!A40="","",Perforaciones!B40)</f>
        <v/>
      </c>
      <c r="C40" s="16" t="str">
        <f aca="false">IF(Perforaciones!A40="","",Perforaciones!C40)</f>
        <v/>
      </c>
      <c r="D40" s="15"/>
      <c r="E40" s="15"/>
      <c r="F40" s="12" t="str">
        <f aca="false">IF(Perforaciones!A40="","",IF(Perforaciones!G40="Sí","Servicio + precio de la pieza","No acepta titanio"))</f>
        <v/>
      </c>
      <c r="G40" s="12" t="str">
        <f aca="false">IF(Perforaciones!A40="","",IF(AND(Perforaciones!E40="Sí",D40=""),"Falta precio clásica",IF(AND(Perforaciones!F40="Sí",E40=""),"Falta precio lujo","OK")))</f>
        <v/>
      </c>
    </row>
    <row r="41" customFormat="false" ht="15" hidden="false" customHeight="false" outlineLevel="0" collapsed="false">
      <c r="A41" s="12" t="str">
        <f aca="false">IF(Perforaciones!A41="","",Perforaciones!A41)</f>
        <v/>
      </c>
      <c r="B41" s="12" t="str">
        <f aca="false">IF(Perforaciones!A41="","",Perforaciones!B41)</f>
        <v/>
      </c>
      <c r="C41" s="16" t="str">
        <f aca="false">IF(Perforaciones!A41="","",Perforaciones!C41)</f>
        <v/>
      </c>
      <c r="D41" s="15"/>
      <c r="E41" s="15"/>
      <c r="F41" s="12" t="str">
        <f aca="false">IF(Perforaciones!A41="","",IF(Perforaciones!G41="Sí","Servicio + precio de la pieza","No acepta titanio"))</f>
        <v/>
      </c>
      <c r="G41" s="12" t="str">
        <f aca="false">IF(Perforaciones!A41="","",IF(AND(Perforaciones!E41="Sí",D41=""),"Falta precio clásica",IF(AND(Perforaciones!F41="Sí",E41=""),"Falta precio lujo","OK")))</f>
        <v/>
      </c>
    </row>
    <row r="42" customFormat="false" ht="15" hidden="false" customHeight="false" outlineLevel="0" collapsed="false">
      <c r="A42" s="12" t="str">
        <f aca="false">IF(Perforaciones!A42="","",Perforaciones!A42)</f>
        <v/>
      </c>
      <c r="B42" s="12" t="str">
        <f aca="false">IF(Perforaciones!A42="","",Perforaciones!B42)</f>
        <v/>
      </c>
      <c r="C42" s="16" t="str">
        <f aca="false">IF(Perforaciones!A42="","",Perforaciones!C42)</f>
        <v/>
      </c>
      <c r="D42" s="15"/>
      <c r="E42" s="15"/>
      <c r="F42" s="12" t="str">
        <f aca="false">IF(Perforaciones!A42="","",IF(Perforaciones!G42="Sí","Servicio + precio de la pieza","No acepta titanio"))</f>
        <v/>
      </c>
      <c r="G42" s="12" t="str">
        <f aca="false">IF(Perforaciones!A42="","",IF(AND(Perforaciones!E42="Sí",D42=""),"Falta precio clásica",IF(AND(Perforaciones!F42="Sí",E42=""),"Falta precio lujo","OK")))</f>
        <v/>
      </c>
    </row>
    <row r="43" customFormat="false" ht="15" hidden="false" customHeight="false" outlineLevel="0" collapsed="false">
      <c r="A43" s="12" t="str">
        <f aca="false">IF(Perforaciones!A43="","",Perforaciones!A43)</f>
        <v/>
      </c>
      <c r="B43" s="12" t="str">
        <f aca="false">IF(Perforaciones!A43="","",Perforaciones!B43)</f>
        <v/>
      </c>
      <c r="C43" s="16" t="str">
        <f aca="false">IF(Perforaciones!A43="","",Perforaciones!C43)</f>
        <v/>
      </c>
      <c r="D43" s="15"/>
      <c r="E43" s="15"/>
      <c r="F43" s="12" t="str">
        <f aca="false">IF(Perforaciones!A43="","",IF(Perforaciones!G43="Sí","Servicio + precio de la pieza","No acepta titanio"))</f>
        <v/>
      </c>
      <c r="G43" s="12" t="str">
        <f aca="false">IF(Perforaciones!A43="","",IF(AND(Perforaciones!E43="Sí",D43=""),"Falta precio clásica",IF(AND(Perforaciones!F43="Sí",E43=""),"Falta precio lujo","OK")))</f>
        <v/>
      </c>
    </row>
    <row r="44" customFormat="false" ht="15" hidden="false" customHeight="false" outlineLevel="0" collapsed="false">
      <c r="A44" s="12" t="str">
        <f aca="false">IF(Perforaciones!A44="","",Perforaciones!A44)</f>
        <v/>
      </c>
      <c r="B44" s="12" t="str">
        <f aca="false">IF(Perforaciones!A44="","",Perforaciones!B44)</f>
        <v/>
      </c>
      <c r="C44" s="16" t="str">
        <f aca="false">IF(Perforaciones!A44="","",Perforaciones!C44)</f>
        <v/>
      </c>
      <c r="D44" s="15"/>
      <c r="E44" s="15"/>
      <c r="F44" s="12" t="str">
        <f aca="false">IF(Perforaciones!A44="","",IF(Perforaciones!G44="Sí","Servicio + precio de la pieza","No acepta titanio"))</f>
        <v/>
      </c>
      <c r="G44" s="12" t="str">
        <f aca="false">IF(Perforaciones!A44="","",IF(AND(Perforaciones!E44="Sí",D44=""),"Falta precio clásica",IF(AND(Perforaciones!F44="Sí",E44=""),"Falta precio lujo","OK")))</f>
        <v/>
      </c>
    </row>
    <row r="45" customFormat="false" ht="15" hidden="false" customHeight="false" outlineLevel="0" collapsed="false">
      <c r="A45" s="12" t="str">
        <f aca="false">IF(Perforaciones!A45="","",Perforaciones!A45)</f>
        <v/>
      </c>
      <c r="B45" s="12" t="str">
        <f aca="false">IF(Perforaciones!A45="","",Perforaciones!B45)</f>
        <v/>
      </c>
      <c r="C45" s="16" t="str">
        <f aca="false">IF(Perforaciones!A45="","",Perforaciones!C45)</f>
        <v/>
      </c>
      <c r="D45" s="15"/>
      <c r="E45" s="15"/>
      <c r="F45" s="12" t="str">
        <f aca="false">IF(Perforaciones!A45="","",IF(Perforaciones!G45="Sí","Servicio + precio de la pieza","No acepta titanio"))</f>
        <v/>
      </c>
      <c r="G45" s="12" t="str">
        <f aca="false">IF(Perforaciones!A45="","",IF(AND(Perforaciones!E45="Sí",D45=""),"Falta precio clásica",IF(AND(Perforaciones!F45="Sí",E45=""),"Falta precio lujo","OK")))</f>
        <v/>
      </c>
    </row>
    <row r="46" customFormat="false" ht="15" hidden="false" customHeight="false" outlineLevel="0" collapsed="false">
      <c r="A46" s="12" t="str">
        <f aca="false">IF(Perforaciones!A46="","",Perforaciones!A46)</f>
        <v/>
      </c>
      <c r="B46" s="12" t="str">
        <f aca="false">IF(Perforaciones!A46="","",Perforaciones!B46)</f>
        <v/>
      </c>
      <c r="C46" s="16" t="str">
        <f aca="false">IF(Perforaciones!A46="","",Perforaciones!C46)</f>
        <v/>
      </c>
      <c r="D46" s="15"/>
      <c r="E46" s="15"/>
      <c r="F46" s="12" t="str">
        <f aca="false">IF(Perforaciones!A46="","",IF(Perforaciones!G46="Sí","Servicio + precio de la pieza","No acepta titanio"))</f>
        <v/>
      </c>
      <c r="G46" s="12" t="str">
        <f aca="false">IF(Perforaciones!A46="","",IF(AND(Perforaciones!E46="Sí",D46=""),"Falta precio clásica",IF(AND(Perforaciones!F46="Sí",E46=""),"Falta precio lujo","OK")))</f>
        <v/>
      </c>
    </row>
    <row r="47" customFormat="false" ht="15" hidden="false" customHeight="false" outlineLevel="0" collapsed="false">
      <c r="A47" s="12" t="str">
        <f aca="false">IF(Perforaciones!A47="","",Perforaciones!A47)</f>
        <v/>
      </c>
      <c r="B47" s="12" t="str">
        <f aca="false">IF(Perforaciones!A47="","",Perforaciones!B47)</f>
        <v/>
      </c>
      <c r="C47" s="16" t="str">
        <f aca="false">IF(Perforaciones!A47="","",Perforaciones!C47)</f>
        <v/>
      </c>
      <c r="D47" s="15"/>
      <c r="E47" s="15"/>
      <c r="F47" s="12" t="str">
        <f aca="false">IF(Perforaciones!A47="","",IF(Perforaciones!G47="Sí","Servicio + precio de la pieza","No acepta titanio"))</f>
        <v/>
      </c>
      <c r="G47" s="12" t="str">
        <f aca="false">IF(Perforaciones!A47="","",IF(AND(Perforaciones!E47="Sí",D47=""),"Falta precio clásica",IF(AND(Perforaciones!F47="Sí",E47=""),"Falta precio lujo","OK")))</f>
        <v/>
      </c>
    </row>
    <row r="48" customFormat="false" ht="15" hidden="false" customHeight="false" outlineLevel="0" collapsed="false">
      <c r="A48" s="12" t="str">
        <f aca="false">IF(Perforaciones!A48="","",Perforaciones!A48)</f>
        <v/>
      </c>
      <c r="B48" s="12" t="str">
        <f aca="false">IF(Perforaciones!A48="","",Perforaciones!B48)</f>
        <v/>
      </c>
      <c r="C48" s="16" t="str">
        <f aca="false">IF(Perforaciones!A48="","",Perforaciones!C48)</f>
        <v/>
      </c>
      <c r="D48" s="15"/>
      <c r="E48" s="15"/>
      <c r="F48" s="12" t="str">
        <f aca="false">IF(Perforaciones!A48="","",IF(Perforaciones!G48="Sí","Servicio + precio de la pieza","No acepta titanio"))</f>
        <v/>
      </c>
      <c r="G48" s="12" t="str">
        <f aca="false">IF(Perforaciones!A48="","",IF(AND(Perforaciones!E48="Sí",D48=""),"Falta precio clásica",IF(AND(Perforaciones!F48="Sí",E48=""),"Falta precio lujo","OK")))</f>
        <v/>
      </c>
    </row>
    <row r="49" customFormat="false" ht="15" hidden="false" customHeight="false" outlineLevel="0" collapsed="false">
      <c r="A49" s="12" t="str">
        <f aca="false">IF(Perforaciones!A49="","",Perforaciones!A49)</f>
        <v/>
      </c>
      <c r="B49" s="12" t="str">
        <f aca="false">IF(Perforaciones!A49="","",Perforaciones!B49)</f>
        <v/>
      </c>
      <c r="C49" s="16" t="str">
        <f aca="false">IF(Perforaciones!A49="","",Perforaciones!C49)</f>
        <v/>
      </c>
      <c r="D49" s="15"/>
      <c r="E49" s="15"/>
      <c r="F49" s="12" t="str">
        <f aca="false">IF(Perforaciones!A49="","",IF(Perforaciones!G49="Sí","Servicio + precio de la pieza","No acepta titanio"))</f>
        <v/>
      </c>
      <c r="G49" s="12" t="str">
        <f aca="false">IF(Perforaciones!A49="","",IF(AND(Perforaciones!E49="Sí",D49=""),"Falta precio clásica",IF(AND(Perforaciones!F49="Sí",E49=""),"Falta precio lujo","OK")))</f>
        <v/>
      </c>
    </row>
    <row r="50" customFormat="false" ht="15" hidden="false" customHeight="false" outlineLevel="0" collapsed="false">
      <c r="A50" s="12" t="str">
        <f aca="false">IF(Perforaciones!A50="","",Perforaciones!A50)</f>
        <v/>
      </c>
      <c r="B50" s="12" t="str">
        <f aca="false">IF(Perforaciones!A50="","",Perforaciones!B50)</f>
        <v/>
      </c>
      <c r="C50" s="16" t="str">
        <f aca="false">IF(Perforaciones!A50="","",Perforaciones!C50)</f>
        <v/>
      </c>
      <c r="D50" s="15"/>
      <c r="E50" s="15"/>
      <c r="F50" s="12" t="str">
        <f aca="false">IF(Perforaciones!A50="","",IF(Perforaciones!G50="Sí","Servicio + precio de la pieza","No acepta titanio"))</f>
        <v/>
      </c>
      <c r="G50" s="12" t="str">
        <f aca="false">IF(Perforaciones!A50="","",IF(AND(Perforaciones!E50="Sí",D50=""),"Falta precio clásica",IF(AND(Perforaciones!F50="Sí",E50=""),"Falta precio lujo","OK")))</f>
        <v/>
      </c>
    </row>
    <row r="51" customFormat="false" ht="15" hidden="false" customHeight="false" outlineLevel="0" collapsed="false">
      <c r="A51" s="12" t="str">
        <f aca="false">IF(Perforaciones!A51="","",Perforaciones!A51)</f>
        <v/>
      </c>
      <c r="B51" s="12" t="str">
        <f aca="false">IF(Perforaciones!A51="","",Perforaciones!B51)</f>
        <v/>
      </c>
      <c r="C51" s="16" t="str">
        <f aca="false">IF(Perforaciones!A51="","",Perforaciones!C51)</f>
        <v/>
      </c>
      <c r="D51" s="15"/>
      <c r="E51" s="15"/>
      <c r="F51" s="12" t="str">
        <f aca="false">IF(Perforaciones!A51="","",IF(Perforaciones!G51="Sí","Servicio + precio de la pieza","No acepta titanio"))</f>
        <v/>
      </c>
      <c r="G51" s="12" t="str">
        <f aca="false">IF(Perforaciones!A51="","",IF(AND(Perforaciones!E51="Sí",D51=""),"Falta precio clásica",IF(AND(Perforaciones!F51="Sí",E51=""),"Falta precio lujo","OK")))</f>
        <v/>
      </c>
    </row>
    <row r="52" customFormat="false" ht="15" hidden="false" customHeight="false" outlineLevel="0" collapsed="false">
      <c r="A52" s="12" t="str">
        <f aca="false">IF(Perforaciones!A52="","",Perforaciones!A52)</f>
        <v/>
      </c>
      <c r="B52" s="12" t="str">
        <f aca="false">IF(Perforaciones!A52="","",Perforaciones!B52)</f>
        <v/>
      </c>
      <c r="C52" s="16" t="str">
        <f aca="false">IF(Perforaciones!A52="","",Perforaciones!C52)</f>
        <v/>
      </c>
      <c r="D52" s="15"/>
      <c r="E52" s="15"/>
      <c r="F52" s="12" t="str">
        <f aca="false">IF(Perforaciones!A52="","",IF(Perforaciones!G52="Sí","Servicio + precio de la pieza","No acepta titanio"))</f>
        <v/>
      </c>
      <c r="G52" s="12" t="str">
        <f aca="false">IF(Perforaciones!A52="","",IF(AND(Perforaciones!E52="Sí",D52=""),"Falta precio clásica",IF(AND(Perforaciones!F52="Sí",E52=""),"Falta precio lujo","OK")))</f>
        <v/>
      </c>
    </row>
    <row r="53" customFormat="false" ht="15" hidden="false" customHeight="false" outlineLevel="0" collapsed="false">
      <c r="A53" s="12" t="str">
        <f aca="false">IF(Perforaciones!A53="","",Perforaciones!A53)</f>
        <v/>
      </c>
      <c r="B53" s="12" t="str">
        <f aca="false">IF(Perforaciones!A53="","",Perforaciones!B53)</f>
        <v/>
      </c>
      <c r="C53" s="16" t="str">
        <f aca="false">IF(Perforaciones!A53="","",Perforaciones!C53)</f>
        <v/>
      </c>
      <c r="D53" s="15"/>
      <c r="E53" s="15"/>
      <c r="F53" s="12" t="str">
        <f aca="false">IF(Perforaciones!A53="","",IF(Perforaciones!G53="Sí","Servicio + precio de la pieza","No acepta titanio"))</f>
        <v/>
      </c>
      <c r="G53" s="12" t="str">
        <f aca="false">IF(Perforaciones!A53="","",IF(AND(Perforaciones!E53="Sí",D53=""),"Falta precio clásica",IF(AND(Perforaciones!F53="Sí",E53=""),"Falta precio lujo","OK")))</f>
        <v/>
      </c>
    </row>
    <row r="54" customFormat="false" ht="15" hidden="false" customHeight="false" outlineLevel="0" collapsed="false">
      <c r="A54" s="12" t="str">
        <f aca="false">IF(Perforaciones!A54="","",Perforaciones!A54)</f>
        <v/>
      </c>
      <c r="B54" s="12" t="str">
        <f aca="false">IF(Perforaciones!A54="","",Perforaciones!B54)</f>
        <v/>
      </c>
      <c r="C54" s="16" t="str">
        <f aca="false">IF(Perforaciones!A54="","",Perforaciones!C54)</f>
        <v/>
      </c>
      <c r="D54" s="15"/>
      <c r="E54" s="15"/>
      <c r="F54" s="12" t="str">
        <f aca="false">IF(Perforaciones!A54="","",IF(Perforaciones!G54="Sí","Servicio + precio de la pieza","No acepta titanio"))</f>
        <v/>
      </c>
      <c r="G54" s="12" t="str">
        <f aca="false">IF(Perforaciones!A54="","",IF(AND(Perforaciones!E54="Sí",D54=""),"Falta precio clásica",IF(AND(Perforaciones!F54="Sí",E54=""),"Falta precio lujo","OK")))</f>
        <v/>
      </c>
    </row>
    <row r="55" customFormat="false" ht="15" hidden="false" customHeight="false" outlineLevel="0" collapsed="false">
      <c r="A55" s="12" t="str">
        <f aca="false">IF(Perforaciones!A55="","",Perforaciones!A55)</f>
        <v/>
      </c>
      <c r="B55" s="12" t="str">
        <f aca="false">IF(Perforaciones!A55="","",Perforaciones!B55)</f>
        <v/>
      </c>
      <c r="C55" s="16" t="str">
        <f aca="false">IF(Perforaciones!A55="","",Perforaciones!C55)</f>
        <v/>
      </c>
      <c r="D55" s="15"/>
      <c r="E55" s="15"/>
      <c r="F55" s="12" t="str">
        <f aca="false">IF(Perforaciones!A55="","",IF(Perforaciones!G55="Sí","Servicio + precio de la pieza","No acepta titanio"))</f>
        <v/>
      </c>
      <c r="G55" s="12" t="str">
        <f aca="false">IF(Perforaciones!A55="","",IF(AND(Perforaciones!E55="Sí",D55=""),"Falta precio clásica",IF(AND(Perforaciones!F55="Sí",E55=""),"Falta precio lujo","OK")))</f>
        <v/>
      </c>
    </row>
    <row r="56" customFormat="false" ht="15" hidden="false" customHeight="false" outlineLevel="0" collapsed="false">
      <c r="A56" s="12" t="str">
        <f aca="false">IF(Perforaciones!A56="","",Perforaciones!A56)</f>
        <v/>
      </c>
      <c r="B56" s="12" t="str">
        <f aca="false">IF(Perforaciones!A56="","",Perforaciones!B56)</f>
        <v/>
      </c>
      <c r="C56" s="16" t="str">
        <f aca="false">IF(Perforaciones!A56="","",Perforaciones!C56)</f>
        <v/>
      </c>
      <c r="D56" s="15"/>
      <c r="E56" s="15"/>
      <c r="F56" s="12" t="str">
        <f aca="false">IF(Perforaciones!A56="","",IF(Perforaciones!G56="Sí","Servicio + precio de la pieza","No acepta titanio"))</f>
        <v/>
      </c>
      <c r="G56" s="12" t="str">
        <f aca="false">IF(Perforaciones!A56="","",IF(AND(Perforaciones!E56="Sí",D56=""),"Falta precio clásica",IF(AND(Perforaciones!F56="Sí",E56=""),"Falta precio lujo","OK")))</f>
        <v/>
      </c>
    </row>
    <row r="57" customFormat="false" ht="15" hidden="false" customHeight="false" outlineLevel="0" collapsed="false">
      <c r="A57" s="12" t="str">
        <f aca="false">IF(Perforaciones!A57="","",Perforaciones!A57)</f>
        <v/>
      </c>
      <c r="B57" s="12" t="str">
        <f aca="false">IF(Perforaciones!A57="","",Perforaciones!B57)</f>
        <v/>
      </c>
      <c r="C57" s="16" t="str">
        <f aca="false">IF(Perforaciones!A57="","",Perforaciones!C57)</f>
        <v/>
      </c>
      <c r="D57" s="15"/>
      <c r="E57" s="15"/>
      <c r="F57" s="12" t="str">
        <f aca="false">IF(Perforaciones!A57="","",IF(Perforaciones!G57="Sí","Servicio + precio de la pieza","No acepta titanio"))</f>
        <v/>
      </c>
      <c r="G57" s="12" t="str">
        <f aca="false">IF(Perforaciones!A57="","",IF(AND(Perforaciones!E57="Sí",D57=""),"Falta precio clásica",IF(AND(Perforaciones!F57="Sí",E57=""),"Falta precio lujo","OK")))</f>
        <v/>
      </c>
    </row>
    <row r="58" customFormat="false" ht="15" hidden="false" customHeight="false" outlineLevel="0" collapsed="false">
      <c r="A58" s="12" t="str">
        <f aca="false">IF(Perforaciones!A58="","",Perforaciones!A58)</f>
        <v/>
      </c>
      <c r="B58" s="12" t="str">
        <f aca="false">IF(Perforaciones!A58="","",Perforaciones!B58)</f>
        <v/>
      </c>
      <c r="C58" s="16" t="str">
        <f aca="false">IF(Perforaciones!A58="","",Perforaciones!C58)</f>
        <v/>
      </c>
      <c r="D58" s="15"/>
      <c r="E58" s="15"/>
      <c r="F58" s="12" t="str">
        <f aca="false">IF(Perforaciones!A58="","",IF(Perforaciones!G58="Sí","Servicio + precio de la pieza","No acepta titanio"))</f>
        <v/>
      </c>
      <c r="G58" s="12" t="str">
        <f aca="false">IF(Perforaciones!A58="","",IF(AND(Perforaciones!E58="Sí",D58=""),"Falta precio clásica",IF(AND(Perforaciones!F58="Sí",E58=""),"Falta precio lujo","OK")))</f>
        <v/>
      </c>
    </row>
    <row r="59" customFormat="false" ht="15" hidden="false" customHeight="false" outlineLevel="0" collapsed="false">
      <c r="A59" s="12" t="str">
        <f aca="false">IF(Perforaciones!A59="","",Perforaciones!A59)</f>
        <v/>
      </c>
      <c r="B59" s="12" t="str">
        <f aca="false">IF(Perforaciones!A59="","",Perforaciones!B59)</f>
        <v/>
      </c>
      <c r="C59" s="16" t="str">
        <f aca="false">IF(Perforaciones!A59="","",Perforaciones!C59)</f>
        <v/>
      </c>
      <c r="D59" s="15"/>
      <c r="E59" s="15"/>
      <c r="F59" s="12" t="str">
        <f aca="false">IF(Perforaciones!A59="","",IF(Perforaciones!G59="Sí","Servicio + precio de la pieza","No acepta titanio"))</f>
        <v/>
      </c>
      <c r="G59" s="12" t="str">
        <f aca="false">IF(Perforaciones!A59="","",IF(AND(Perforaciones!E59="Sí",D59=""),"Falta precio clásica",IF(AND(Perforaciones!F59="Sí",E59=""),"Falta precio lujo","OK")))</f>
        <v/>
      </c>
    </row>
    <row r="60" customFormat="false" ht="15" hidden="false" customHeight="false" outlineLevel="0" collapsed="false">
      <c r="A60" s="12" t="str">
        <f aca="false">IF(Perforaciones!A60="","",Perforaciones!A60)</f>
        <v/>
      </c>
      <c r="B60" s="12" t="str">
        <f aca="false">IF(Perforaciones!A60="","",Perforaciones!B60)</f>
        <v/>
      </c>
      <c r="C60" s="16" t="str">
        <f aca="false">IF(Perforaciones!A60="","",Perforaciones!C60)</f>
        <v/>
      </c>
      <c r="D60" s="15"/>
      <c r="E60" s="15"/>
      <c r="F60" s="12" t="str">
        <f aca="false">IF(Perforaciones!A60="","",IF(Perforaciones!G60="Sí","Servicio + precio de la pieza","No acepta titanio"))</f>
        <v/>
      </c>
      <c r="G60" s="12" t="str">
        <f aca="false">IF(Perforaciones!A60="","",IF(AND(Perforaciones!E60="Sí",D60=""),"Falta precio clásica",IF(AND(Perforaciones!F60="Sí",E60=""),"Falta precio lujo","OK")))</f>
        <v/>
      </c>
    </row>
    <row r="61" customFormat="false" ht="15" hidden="false" customHeight="false" outlineLevel="0" collapsed="false">
      <c r="A61" s="12" t="str">
        <f aca="false">IF(Perforaciones!A61="","",Perforaciones!A61)</f>
        <v/>
      </c>
      <c r="B61" s="12" t="str">
        <f aca="false">IF(Perforaciones!A61="","",Perforaciones!B61)</f>
        <v/>
      </c>
      <c r="C61" s="16" t="str">
        <f aca="false">IF(Perforaciones!A61="","",Perforaciones!C61)</f>
        <v/>
      </c>
      <c r="D61" s="15"/>
      <c r="E61" s="15"/>
      <c r="F61" s="12" t="str">
        <f aca="false">IF(Perforaciones!A61="","",IF(Perforaciones!G61="Sí","Servicio + precio de la pieza","No acepta titanio"))</f>
        <v/>
      </c>
      <c r="G61" s="12" t="str">
        <f aca="false">IF(Perforaciones!A61="","",IF(AND(Perforaciones!E61="Sí",D61=""),"Falta precio clásica",IF(AND(Perforaciones!F61="Sí",E61=""),"Falta precio lujo","OK")))</f>
        <v/>
      </c>
    </row>
  </sheetData>
  <conditionalFormatting sqref="G2:G61">
    <cfRule type="expression" priority="2" aboveAverage="0" equalAverage="0" bottom="0" percent="0" rank="0" text="" dxfId="0">
      <formula>LEFT(G2,5)="Falta"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8"/>
    <col collapsed="false" customWidth="true" hidden="false" outlineLevel="0" max="5" min="5" style="0" width="40"/>
  </cols>
  <sheetData>
    <row r="1" customFormat="false" ht="42" hidden="false" customHeight="true" outlineLevel="0" collapsed="false">
      <c r="A1" s="10" t="s">
        <v>80</v>
      </c>
      <c r="B1" s="10" t="s">
        <v>81</v>
      </c>
      <c r="C1" s="10" t="s">
        <v>82</v>
      </c>
      <c r="D1" s="10" t="s">
        <v>83</v>
      </c>
      <c r="E1" s="10" t="s">
        <v>84</v>
      </c>
    </row>
    <row r="2" customFormat="false" ht="15" hidden="false" customHeight="false" outlineLevel="0" collapsed="false">
      <c r="A2" s="13" t="s">
        <v>69</v>
      </c>
      <c r="B2" s="13" t="s">
        <v>85</v>
      </c>
      <c r="C2" s="13"/>
      <c r="D2" s="13" t="n">
        <v>900</v>
      </c>
      <c r="E2" s="13" t="s">
        <v>86</v>
      </c>
    </row>
    <row r="3" customFormat="false" ht="15" hidden="false" customHeight="false" outlineLevel="0" collapsed="false">
      <c r="A3" s="11"/>
      <c r="B3" s="11"/>
      <c r="C3" s="11"/>
      <c r="D3" s="11"/>
      <c r="E3" s="11"/>
    </row>
    <row r="4" customFormat="false" ht="15" hidden="false" customHeight="false" outlineLevel="0" collapsed="false">
      <c r="A4" s="11"/>
      <c r="B4" s="11"/>
      <c r="C4" s="11"/>
      <c r="D4" s="11"/>
      <c r="E4" s="11"/>
    </row>
    <row r="5" customFormat="false" ht="15" hidden="false" customHeight="false" outlineLevel="0" collapsed="false">
      <c r="A5" s="11"/>
      <c r="B5" s="11"/>
      <c r="C5" s="11"/>
      <c r="D5" s="11"/>
      <c r="E5" s="11"/>
    </row>
    <row r="6" customFormat="false" ht="15" hidden="false" customHeight="false" outlineLevel="0" collapsed="false">
      <c r="A6" s="11"/>
      <c r="B6" s="11"/>
      <c r="C6" s="11"/>
      <c r="D6" s="11"/>
      <c r="E6" s="11"/>
    </row>
    <row r="7" customFormat="false" ht="15" hidden="false" customHeight="false" outlineLevel="0" collapsed="false">
      <c r="A7" s="11"/>
      <c r="B7" s="11"/>
      <c r="C7" s="11"/>
      <c r="D7" s="11"/>
      <c r="E7" s="11"/>
    </row>
    <row r="8" customFormat="false" ht="15" hidden="false" customHeight="false" outlineLevel="0" collapsed="false">
      <c r="A8" s="11"/>
      <c r="B8" s="11"/>
      <c r="C8" s="11"/>
      <c r="D8" s="11"/>
      <c r="E8" s="11"/>
    </row>
    <row r="9" customFormat="false" ht="15" hidden="false" customHeight="false" outlineLevel="0" collapsed="false">
      <c r="A9" s="11"/>
      <c r="B9" s="11"/>
      <c r="C9" s="11"/>
      <c r="D9" s="11"/>
      <c r="E9" s="11"/>
    </row>
    <row r="10" customFormat="false" ht="15" hidden="false" customHeight="false" outlineLevel="0" collapsed="false">
      <c r="A10" s="11"/>
      <c r="B10" s="11"/>
      <c r="C10" s="11"/>
      <c r="D10" s="11"/>
      <c r="E10" s="11"/>
    </row>
    <row r="11" customFormat="false" ht="15" hidden="false" customHeight="false" outlineLevel="0" collapsed="false">
      <c r="A11" s="11"/>
      <c r="B11" s="11"/>
      <c r="C11" s="11"/>
      <c r="D11" s="11"/>
      <c r="E11" s="11"/>
    </row>
    <row r="12" customFormat="false" ht="15" hidden="false" customHeight="false" outlineLevel="0" collapsed="false">
      <c r="A12" s="11"/>
      <c r="B12" s="11"/>
      <c r="C12" s="11"/>
      <c r="D12" s="11"/>
      <c r="E12" s="11"/>
    </row>
    <row r="13" customFormat="false" ht="15" hidden="false" customHeight="false" outlineLevel="0" collapsed="false">
      <c r="A13" s="11"/>
      <c r="B13" s="11"/>
      <c r="C13" s="11"/>
      <c r="D13" s="11"/>
      <c r="E13" s="11"/>
    </row>
    <row r="14" customFormat="false" ht="15" hidden="false" customHeight="false" outlineLevel="0" collapsed="false">
      <c r="A14" s="11"/>
      <c r="B14" s="11"/>
      <c r="C14" s="11"/>
      <c r="D14" s="11"/>
      <c r="E14" s="11"/>
    </row>
    <row r="15" customFormat="false" ht="15" hidden="false" customHeight="false" outlineLevel="0" collapsed="false">
      <c r="A15" s="11"/>
      <c r="B15" s="11"/>
      <c r="C15" s="11"/>
      <c r="D15" s="11"/>
      <c r="E15" s="11"/>
    </row>
    <row r="16" customFormat="false" ht="15" hidden="false" customHeight="false" outlineLevel="0" collapsed="false">
      <c r="A16" s="11"/>
      <c r="B16" s="11"/>
      <c r="C16" s="11"/>
      <c r="D16" s="11"/>
      <c r="E16" s="11"/>
    </row>
    <row r="17" customFormat="false" ht="15" hidden="false" customHeight="false" outlineLevel="0" collapsed="false">
      <c r="A17" s="11"/>
      <c r="B17" s="11"/>
      <c r="C17" s="11"/>
      <c r="D17" s="11"/>
      <c r="E17" s="11"/>
    </row>
    <row r="18" customFormat="false" ht="15" hidden="false" customHeight="false" outlineLevel="0" collapsed="false">
      <c r="A18" s="11"/>
      <c r="B18" s="11"/>
      <c r="C18" s="11"/>
      <c r="D18" s="11"/>
      <c r="E18" s="11"/>
    </row>
    <row r="19" customFormat="false" ht="15" hidden="false" customHeight="false" outlineLevel="0" collapsed="false">
      <c r="A19" s="11"/>
      <c r="B19" s="11"/>
      <c r="C19" s="11"/>
      <c r="D19" s="11"/>
      <c r="E19" s="11"/>
    </row>
    <row r="20" customFormat="false" ht="15" hidden="false" customHeight="false" outlineLevel="0" collapsed="false">
      <c r="A20" s="11"/>
      <c r="B20" s="11"/>
      <c r="C20" s="11"/>
      <c r="D20" s="11"/>
      <c r="E20" s="11"/>
    </row>
    <row r="21" customFormat="false" ht="15" hidden="false" customHeight="false" outlineLevel="0" collapsed="false">
      <c r="A21" s="11"/>
      <c r="B21" s="11"/>
      <c r="C21" s="11"/>
      <c r="D21" s="11"/>
      <c r="E21" s="11"/>
    </row>
    <row r="22" customFormat="false" ht="15" hidden="false" customHeight="false" outlineLevel="0" collapsed="false">
      <c r="A22" s="11"/>
      <c r="B22" s="11"/>
      <c r="C22" s="11"/>
      <c r="D22" s="11"/>
      <c r="E22" s="11"/>
    </row>
    <row r="23" customFormat="false" ht="15" hidden="false" customHeight="false" outlineLevel="0" collapsed="false">
      <c r="A23" s="11"/>
      <c r="B23" s="11"/>
      <c r="C23" s="11"/>
      <c r="D23" s="11"/>
      <c r="E23" s="11"/>
    </row>
    <row r="24" customFormat="false" ht="15" hidden="false" customHeight="false" outlineLevel="0" collapsed="false">
      <c r="A24" s="11"/>
      <c r="B24" s="11"/>
      <c r="C24" s="11"/>
      <c r="D24" s="11"/>
      <c r="E24" s="11"/>
    </row>
    <row r="25" customFormat="false" ht="15" hidden="false" customHeight="false" outlineLevel="0" collapsed="false">
      <c r="A25" s="11"/>
      <c r="B25" s="11"/>
      <c r="C25" s="11"/>
      <c r="D25" s="11"/>
      <c r="E25" s="11"/>
    </row>
    <row r="26" customFormat="false" ht="15" hidden="false" customHeight="false" outlineLevel="0" collapsed="false">
      <c r="A26" s="11"/>
      <c r="B26" s="11"/>
      <c r="C26" s="11"/>
      <c r="D26" s="11"/>
      <c r="E26" s="11"/>
    </row>
    <row r="27" customFormat="false" ht="15" hidden="false" customHeight="false" outlineLevel="0" collapsed="false">
      <c r="A27" s="11"/>
      <c r="B27" s="11"/>
      <c r="C27" s="11"/>
      <c r="D27" s="11"/>
      <c r="E27" s="11"/>
    </row>
    <row r="28" customFormat="false" ht="15" hidden="false" customHeight="false" outlineLevel="0" collapsed="false">
      <c r="A28" s="11"/>
      <c r="B28" s="11"/>
      <c r="C28" s="11"/>
      <c r="D28" s="11"/>
      <c r="E28" s="11"/>
    </row>
    <row r="29" customFormat="false" ht="15" hidden="false" customHeight="false" outlineLevel="0" collapsed="false">
      <c r="A29" s="11"/>
      <c r="B29" s="11"/>
      <c r="C29" s="11"/>
      <c r="D29" s="11"/>
      <c r="E29" s="11"/>
    </row>
    <row r="30" customFormat="false" ht="15" hidden="false" customHeight="false" outlineLevel="0" collapsed="false">
      <c r="A30" s="11"/>
      <c r="B30" s="11"/>
      <c r="C30" s="11"/>
      <c r="D30" s="11"/>
      <c r="E30" s="11"/>
    </row>
    <row r="31" customFormat="false" ht="15" hidden="false" customHeight="false" outlineLevel="0" collapsed="false">
      <c r="A31" s="11"/>
      <c r="B31" s="11"/>
      <c r="C31" s="11"/>
      <c r="D31" s="11"/>
      <c r="E31" s="11"/>
    </row>
    <row r="32" customFormat="false" ht="15" hidden="false" customHeight="false" outlineLevel="0" collapsed="false">
      <c r="A32" s="11"/>
      <c r="B32" s="11"/>
      <c r="C32" s="11"/>
      <c r="D32" s="11"/>
      <c r="E32" s="11"/>
    </row>
    <row r="33" customFormat="false" ht="15" hidden="false" customHeight="false" outlineLevel="0" collapsed="false">
      <c r="A33" s="11"/>
      <c r="B33" s="11"/>
      <c r="C33" s="11"/>
      <c r="D33" s="11"/>
      <c r="E33" s="11"/>
    </row>
    <row r="34" customFormat="false" ht="15" hidden="false" customHeight="false" outlineLevel="0" collapsed="false">
      <c r="A34" s="11"/>
      <c r="B34" s="11"/>
      <c r="C34" s="11"/>
      <c r="D34" s="11"/>
      <c r="E34" s="11"/>
    </row>
    <row r="35" customFormat="false" ht="15" hidden="false" customHeight="false" outlineLevel="0" collapsed="false">
      <c r="A35" s="11"/>
      <c r="B35" s="11"/>
      <c r="C35" s="11"/>
      <c r="D35" s="11"/>
      <c r="E35" s="11"/>
    </row>
    <row r="36" customFormat="false" ht="15" hidden="false" customHeight="false" outlineLevel="0" collapsed="false">
      <c r="A36" s="11"/>
      <c r="B36" s="11"/>
      <c r="C36" s="11"/>
      <c r="D36" s="11"/>
      <c r="E36" s="11"/>
    </row>
    <row r="37" customFormat="false" ht="15" hidden="false" customHeight="false" outlineLevel="0" collapsed="false">
      <c r="A37" s="11"/>
      <c r="B37" s="11"/>
      <c r="C37" s="11"/>
      <c r="D37" s="11"/>
      <c r="E37" s="11"/>
    </row>
    <row r="38" customFormat="false" ht="15" hidden="false" customHeight="false" outlineLevel="0" collapsed="false">
      <c r="A38" s="11"/>
      <c r="B38" s="11"/>
      <c r="C38" s="11"/>
      <c r="D38" s="11"/>
      <c r="E38" s="11"/>
    </row>
    <row r="39" customFormat="false" ht="15" hidden="false" customHeight="false" outlineLevel="0" collapsed="false">
      <c r="A39" s="11"/>
      <c r="B39" s="11"/>
      <c r="C39" s="11"/>
      <c r="D39" s="11"/>
      <c r="E39" s="11"/>
    </row>
    <row r="40" customFormat="false" ht="15" hidden="false" customHeight="false" outlineLevel="0" collapsed="false">
      <c r="A40" s="11"/>
      <c r="B40" s="11"/>
      <c r="C40" s="11"/>
      <c r="D40" s="11"/>
      <c r="E40" s="11"/>
    </row>
    <row r="41" customFormat="false" ht="15" hidden="false" customHeight="false" outlineLevel="0" collapsed="false">
      <c r="A41" s="11"/>
      <c r="B41" s="11"/>
      <c r="C41" s="11"/>
      <c r="D41" s="11"/>
      <c r="E41" s="11"/>
    </row>
    <row r="42" customFormat="false" ht="15" hidden="false" customHeight="false" outlineLevel="0" collapsed="false">
      <c r="A42" s="11"/>
      <c r="B42" s="11"/>
      <c r="C42" s="11"/>
      <c r="D42" s="11"/>
      <c r="E42" s="11"/>
    </row>
    <row r="43" customFormat="false" ht="15" hidden="false" customHeight="false" outlineLevel="0" collapsed="false">
      <c r="A43" s="11"/>
      <c r="B43" s="11"/>
      <c r="C43" s="11"/>
      <c r="D43" s="11"/>
      <c r="E43" s="11"/>
    </row>
    <row r="44" customFormat="false" ht="15" hidden="false" customHeight="false" outlineLevel="0" collapsed="false">
      <c r="A44" s="11"/>
      <c r="B44" s="11"/>
      <c r="C44" s="11"/>
      <c r="D44" s="11"/>
      <c r="E44" s="11"/>
    </row>
    <row r="45" customFormat="false" ht="15" hidden="false" customHeight="false" outlineLevel="0" collapsed="false">
      <c r="A45" s="11"/>
      <c r="B45" s="11"/>
      <c r="C45" s="11"/>
      <c r="D45" s="11"/>
      <c r="E45" s="11"/>
    </row>
    <row r="46" customFormat="false" ht="15" hidden="false" customHeight="false" outlineLevel="0" collapsed="false">
      <c r="A46" s="11"/>
      <c r="B46" s="11"/>
      <c r="C46" s="11"/>
      <c r="D46" s="11"/>
      <c r="E46" s="11"/>
    </row>
    <row r="47" customFormat="false" ht="15" hidden="false" customHeight="false" outlineLevel="0" collapsed="false">
      <c r="A47" s="11"/>
      <c r="B47" s="11"/>
      <c r="C47" s="11"/>
      <c r="D47" s="11"/>
      <c r="E47" s="11"/>
    </row>
    <row r="48" customFormat="false" ht="15" hidden="false" customHeight="false" outlineLevel="0" collapsed="false">
      <c r="A48" s="11"/>
      <c r="B48" s="11"/>
      <c r="C48" s="11"/>
      <c r="D48" s="11"/>
      <c r="E48" s="11"/>
    </row>
    <row r="49" customFormat="false" ht="15" hidden="false" customHeight="false" outlineLevel="0" collapsed="false">
      <c r="A49" s="11"/>
      <c r="B49" s="11"/>
      <c r="C49" s="11"/>
      <c r="D49" s="11"/>
      <c r="E49" s="11"/>
    </row>
    <row r="50" customFormat="false" ht="15" hidden="false" customHeight="false" outlineLevel="0" collapsed="false">
      <c r="A50" s="11"/>
      <c r="B50" s="11"/>
      <c r="C50" s="11"/>
      <c r="D50" s="11"/>
      <c r="E50" s="11"/>
    </row>
    <row r="51" customFormat="false" ht="15" hidden="false" customHeight="false" outlineLevel="0" collapsed="false">
      <c r="A51" s="11"/>
      <c r="B51" s="11"/>
      <c r="C51" s="11"/>
      <c r="D51" s="11"/>
      <c r="E51" s="11"/>
    </row>
    <row r="52" customFormat="false" ht="15" hidden="false" customHeight="false" outlineLevel="0" collapsed="false">
      <c r="A52" s="11"/>
      <c r="B52" s="11"/>
      <c r="C52" s="11"/>
      <c r="D52" s="11"/>
      <c r="E52" s="11"/>
    </row>
    <row r="53" customFormat="false" ht="15" hidden="false" customHeight="false" outlineLevel="0" collapsed="false">
      <c r="A53" s="11"/>
      <c r="B53" s="11"/>
      <c r="C53" s="11"/>
      <c r="D53" s="11"/>
      <c r="E53" s="11"/>
    </row>
    <row r="54" customFormat="false" ht="15" hidden="false" customHeight="false" outlineLevel="0" collapsed="false">
      <c r="A54" s="11"/>
      <c r="B54" s="11"/>
      <c r="C54" s="11"/>
      <c r="D54" s="11"/>
      <c r="E54" s="11"/>
    </row>
    <row r="55" customFormat="false" ht="15" hidden="false" customHeight="false" outlineLevel="0" collapsed="false">
      <c r="A55" s="11"/>
      <c r="B55" s="11"/>
      <c r="C55" s="11"/>
      <c r="D55" s="11"/>
      <c r="E55" s="11"/>
    </row>
    <row r="56" customFormat="false" ht="15" hidden="false" customHeight="false" outlineLevel="0" collapsed="false">
      <c r="A56" s="11"/>
      <c r="B56" s="11"/>
      <c r="C56" s="11"/>
      <c r="D56" s="11"/>
      <c r="E56" s="11"/>
    </row>
    <row r="57" customFormat="false" ht="15" hidden="false" customHeight="false" outlineLevel="0" collapsed="false">
      <c r="A57" s="11"/>
      <c r="B57" s="11"/>
      <c r="C57" s="11"/>
      <c r="D57" s="11"/>
      <c r="E57" s="11"/>
    </row>
    <row r="58" customFormat="false" ht="15" hidden="false" customHeight="false" outlineLevel="0" collapsed="false">
      <c r="A58" s="11"/>
      <c r="B58" s="11"/>
      <c r="C58" s="11"/>
      <c r="D58" s="11"/>
      <c r="E58" s="11"/>
    </row>
    <row r="59" customFormat="false" ht="15" hidden="false" customHeight="false" outlineLevel="0" collapsed="false">
      <c r="A59" s="11"/>
      <c r="B59" s="11"/>
      <c r="C59" s="11"/>
      <c r="D59" s="11"/>
      <c r="E59" s="11"/>
    </row>
    <row r="60" customFormat="false" ht="15" hidden="false" customHeight="false" outlineLevel="0" collapsed="false">
      <c r="A60" s="11"/>
      <c r="B60" s="11"/>
      <c r="C60" s="11"/>
      <c r="D60" s="11"/>
      <c r="E60" s="11"/>
    </row>
    <row r="61" customFormat="false" ht="15" hidden="false" customHeight="false" outlineLevel="0" collapsed="false">
      <c r="A61" s="11"/>
      <c r="B61" s="11"/>
      <c r="C61" s="11"/>
      <c r="D61" s="11"/>
      <c r="E61" s="11"/>
    </row>
    <row r="62" customFormat="false" ht="15" hidden="false" customHeight="false" outlineLevel="0" collapsed="false">
      <c r="A62" s="11"/>
      <c r="B62" s="11"/>
      <c r="C62" s="11"/>
      <c r="D62" s="11"/>
      <c r="E62" s="11"/>
    </row>
    <row r="63" customFormat="false" ht="15" hidden="false" customHeight="false" outlineLevel="0" collapsed="false">
      <c r="A63" s="11"/>
      <c r="B63" s="11"/>
      <c r="C63" s="11"/>
      <c r="D63" s="11"/>
      <c r="E63" s="11"/>
    </row>
    <row r="64" customFormat="false" ht="15" hidden="false" customHeight="false" outlineLevel="0" collapsed="false">
      <c r="A64" s="11"/>
      <c r="B64" s="11"/>
      <c r="C64" s="11"/>
      <c r="D64" s="11"/>
      <c r="E64" s="11"/>
    </row>
    <row r="65" customFormat="false" ht="15" hidden="false" customHeight="false" outlineLevel="0" collapsed="false">
      <c r="A65" s="11"/>
      <c r="B65" s="11"/>
      <c r="C65" s="11"/>
      <c r="D65" s="11"/>
      <c r="E65" s="11"/>
    </row>
    <row r="66" customFormat="false" ht="15" hidden="false" customHeight="false" outlineLevel="0" collapsed="false">
      <c r="A66" s="11"/>
      <c r="B66" s="11"/>
      <c r="C66" s="11"/>
      <c r="D66" s="11"/>
      <c r="E66" s="11"/>
    </row>
    <row r="67" customFormat="false" ht="15" hidden="false" customHeight="false" outlineLevel="0" collapsed="false">
      <c r="A67" s="11"/>
      <c r="B67" s="11"/>
      <c r="C67" s="11"/>
      <c r="D67" s="11"/>
      <c r="E67" s="11"/>
    </row>
    <row r="68" customFormat="false" ht="15" hidden="false" customHeight="false" outlineLevel="0" collapsed="false">
      <c r="A68" s="11"/>
      <c r="B68" s="11"/>
      <c r="C68" s="11"/>
      <c r="D68" s="11"/>
      <c r="E68" s="11"/>
    </row>
    <row r="69" customFormat="false" ht="15" hidden="false" customHeight="false" outlineLevel="0" collapsed="false">
      <c r="A69" s="11"/>
      <c r="B69" s="11"/>
      <c r="C69" s="11"/>
      <c r="D69" s="11"/>
      <c r="E69" s="11"/>
    </row>
    <row r="70" customFormat="false" ht="15" hidden="false" customHeight="false" outlineLevel="0" collapsed="false">
      <c r="A70" s="11"/>
      <c r="B70" s="11"/>
      <c r="C70" s="11"/>
      <c r="D70" s="11"/>
      <c r="E70" s="11"/>
    </row>
    <row r="71" customFormat="false" ht="15" hidden="false" customHeight="false" outlineLevel="0" collapsed="false">
      <c r="A71" s="11"/>
      <c r="B71" s="11"/>
      <c r="C71" s="11"/>
      <c r="D71" s="11"/>
      <c r="E71" s="11"/>
    </row>
    <row r="72" customFormat="false" ht="15" hidden="false" customHeight="false" outlineLevel="0" collapsed="false">
      <c r="A72" s="11"/>
      <c r="B72" s="11"/>
      <c r="C72" s="11"/>
      <c r="D72" s="11"/>
      <c r="E72" s="11"/>
    </row>
    <row r="73" customFormat="false" ht="15" hidden="false" customHeight="false" outlineLevel="0" collapsed="false">
      <c r="A73" s="11"/>
      <c r="B73" s="11"/>
      <c r="C73" s="11"/>
      <c r="D73" s="11"/>
      <c r="E73" s="11"/>
    </row>
    <row r="74" customFormat="false" ht="15" hidden="false" customHeight="false" outlineLevel="0" collapsed="false">
      <c r="A74" s="11"/>
      <c r="B74" s="11"/>
      <c r="C74" s="11"/>
      <c r="D74" s="11"/>
      <c r="E74" s="11"/>
    </row>
    <row r="75" customFormat="false" ht="15" hidden="false" customHeight="false" outlineLevel="0" collapsed="false">
      <c r="A75" s="11"/>
      <c r="B75" s="11"/>
      <c r="C75" s="11"/>
      <c r="D75" s="11"/>
      <c r="E75" s="11"/>
    </row>
    <row r="76" customFormat="false" ht="15" hidden="false" customHeight="false" outlineLevel="0" collapsed="false">
      <c r="A76" s="11"/>
      <c r="B76" s="11"/>
      <c r="C76" s="11"/>
      <c r="D76" s="11"/>
      <c r="E76" s="11"/>
    </row>
    <row r="77" customFormat="false" ht="15" hidden="false" customHeight="false" outlineLevel="0" collapsed="false">
      <c r="A77" s="11"/>
      <c r="B77" s="11"/>
      <c r="C77" s="11"/>
      <c r="D77" s="11"/>
      <c r="E77" s="11"/>
    </row>
    <row r="78" customFormat="false" ht="15" hidden="false" customHeight="false" outlineLevel="0" collapsed="false">
      <c r="A78" s="11"/>
      <c r="B78" s="11"/>
      <c r="C78" s="11"/>
      <c r="D78" s="11"/>
      <c r="E78" s="11"/>
    </row>
    <row r="79" customFormat="false" ht="15" hidden="false" customHeight="false" outlineLevel="0" collapsed="false">
      <c r="A79" s="11"/>
      <c r="B79" s="11"/>
      <c r="C79" s="11"/>
      <c r="D79" s="11"/>
      <c r="E79" s="11"/>
    </row>
    <row r="80" customFormat="false" ht="15" hidden="false" customHeight="false" outlineLevel="0" collapsed="false">
      <c r="A80" s="11"/>
      <c r="B80" s="11"/>
      <c r="C80" s="11"/>
      <c r="D80" s="11"/>
      <c r="E80" s="11"/>
    </row>
    <row r="81" customFormat="false" ht="15" hidden="false" customHeight="false" outlineLevel="0" collapsed="false">
      <c r="A81" s="11"/>
      <c r="B81" s="11"/>
      <c r="C81" s="11"/>
      <c r="D81" s="11"/>
      <c r="E81" s="11"/>
    </row>
    <row r="82" customFormat="false" ht="15" hidden="false" customHeight="false" outlineLevel="0" collapsed="false">
      <c r="A82" s="11"/>
      <c r="B82" s="11"/>
      <c r="C82" s="11"/>
      <c r="D82" s="11"/>
      <c r="E82" s="11"/>
    </row>
    <row r="83" customFormat="false" ht="15" hidden="false" customHeight="false" outlineLevel="0" collapsed="false">
      <c r="A83" s="11"/>
      <c r="B83" s="11"/>
      <c r="C83" s="11"/>
      <c r="D83" s="11"/>
      <c r="E83" s="11"/>
    </row>
    <row r="84" customFormat="false" ht="15" hidden="false" customHeight="false" outlineLevel="0" collapsed="false">
      <c r="A84" s="11"/>
      <c r="B84" s="11"/>
      <c r="C84" s="11"/>
      <c r="D84" s="11"/>
      <c r="E84" s="11"/>
    </row>
    <row r="85" customFormat="false" ht="15" hidden="false" customHeight="false" outlineLevel="0" collapsed="false">
      <c r="A85" s="11"/>
      <c r="B85" s="11"/>
      <c r="C85" s="11"/>
      <c r="D85" s="11"/>
      <c r="E85" s="11"/>
    </row>
    <row r="86" customFormat="false" ht="15" hidden="false" customHeight="false" outlineLevel="0" collapsed="false">
      <c r="A86" s="11"/>
      <c r="B86" s="11"/>
      <c r="C86" s="11"/>
      <c r="D86" s="11"/>
      <c r="E86" s="11"/>
    </row>
    <row r="87" customFormat="false" ht="15" hidden="false" customHeight="false" outlineLevel="0" collapsed="false">
      <c r="A87" s="11"/>
      <c r="B87" s="11"/>
      <c r="C87" s="11"/>
      <c r="D87" s="11"/>
      <c r="E87" s="11"/>
    </row>
    <row r="88" customFormat="false" ht="15" hidden="false" customHeight="false" outlineLevel="0" collapsed="false">
      <c r="A88" s="11"/>
      <c r="B88" s="11"/>
      <c r="C88" s="11"/>
      <c r="D88" s="11"/>
      <c r="E88" s="11"/>
    </row>
    <row r="89" customFormat="false" ht="15" hidden="false" customHeight="false" outlineLevel="0" collapsed="false">
      <c r="A89" s="11"/>
      <c r="B89" s="11"/>
      <c r="C89" s="11"/>
      <c r="D89" s="11"/>
      <c r="E89" s="11"/>
    </row>
    <row r="90" customFormat="false" ht="15" hidden="false" customHeight="false" outlineLevel="0" collapsed="false">
      <c r="A90" s="11"/>
      <c r="B90" s="11"/>
      <c r="C90" s="11"/>
      <c r="D90" s="11"/>
      <c r="E90" s="11"/>
    </row>
    <row r="91" customFormat="false" ht="15" hidden="false" customHeight="false" outlineLevel="0" collapsed="false">
      <c r="A91" s="11"/>
      <c r="B91" s="11"/>
      <c r="C91" s="11"/>
      <c r="D91" s="11"/>
      <c r="E91" s="11"/>
    </row>
    <row r="92" customFormat="false" ht="15" hidden="false" customHeight="false" outlineLevel="0" collapsed="false">
      <c r="A92" s="11"/>
      <c r="B92" s="11"/>
      <c r="C92" s="11"/>
      <c r="D92" s="11"/>
      <c r="E92" s="11"/>
    </row>
    <row r="93" customFormat="false" ht="15" hidden="false" customHeight="false" outlineLevel="0" collapsed="false">
      <c r="A93" s="11"/>
      <c r="B93" s="11"/>
      <c r="C93" s="11"/>
      <c r="D93" s="11"/>
      <c r="E93" s="11"/>
    </row>
    <row r="94" customFormat="false" ht="15" hidden="false" customHeight="false" outlineLevel="0" collapsed="false">
      <c r="A94" s="11"/>
      <c r="B94" s="11"/>
      <c r="C94" s="11"/>
      <c r="D94" s="11"/>
      <c r="E94" s="11"/>
    </row>
    <row r="95" customFormat="false" ht="15" hidden="false" customHeight="false" outlineLevel="0" collapsed="false">
      <c r="A95" s="11"/>
      <c r="B95" s="11"/>
      <c r="C95" s="11"/>
      <c r="D95" s="11"/>
      <c r="E95" s="11"/>
    </row>
    <row r="96" customFormat="false" ht="15" hidden="false" customHeight="false" outlineLevel="0" collapsed="false">
      <c r="A96" s="11"/>
      <c r="B96" s="11"/>
      <c r="C96" s="11"/>
      <c r="D96" s="11"/>
      <c r="E96" s="11"/>
    </row>
    <row r="97" customFormat="false" ht="15" hidden="false" customHeight="false" outlineLevel="0" collapsed="false">
      <c r="A97" s="11"/>
      <c r="B97" s="11"/>
      <c r="C97" s="11"/>
      <c r="D97" s="11"/>
      <c r="E97" s="11"/>
    </row>
    <row r="98" customFormat="false" ht="15" hidden="false" customHeight="false" outlineLevel="0" collapsed="false">
      <c r="A98" s="11"/>
      <c r="B98" s="11"/>
      <c r="C98" s="11"/>
      <c r="D98" s="11"/>
      <c r="E98" s="11"/>
    </row>
    <row r="99" customFormat="false" ht="15" hidden="false" customHeight="false" outlineLevel="0" collapsed="false">
      <c r="A99" s="11"/>
      <c r="B99" s="11"/>
      <c r="C99" s="11"/>
      <c r="D99" s="11"/>
      <c r="E99" s="11"/>
    </row>
    <row r="100" customFormat="false" ht="15" hidden="false" customHeight="false" outlineLevel="0" collapsed="false">
      <c r="A100" s="11"/>
      <c r="B100" s="11"/>
      <c r="C100" s="11"/>
      <c r="D100" s="11"/>
      <c r="E100" s="11"/>
    </row>
    <row r="101" customFormat="false" ht="15" hidden="false" customHeight="false" outlineLevel="0" collapsed="false">
      <c r="A101" s="11"/>
      <c r="B101" s="11"/>
      <c r="C101" s="11"/>
      <c r="D101" s="11"/>
      <c r="E101" s="11"/>
    </row>
  </sheetData>
  <dataValidations count="3">
    <dataValidation allowBlank="true" error="Use un código de la hoja Perforaciones" errorStyle="stop" errorTitle="Valor no válido" operator="between" showDropDown="false" showErrorMessage="true" showInputMessage="false" sqref="A2:A101" type="list">
      <formula1>Perforaciones!$A$2:$A$61</formula1>
      <formula2>0</formula2>
    </dataValidation>
    <dataValidation allowBlank="true" error="Use un SKU de la hoja Productos" errorStyle="stop" errorTitle="Valor no válido" operator="between" showDropDown="false" showErrorMessage="true" showInputMessage="false" sqref="B2:B101" type="list">
      <formula1>Productos!$A$2:$A$1001</formula1>
      <formula2>0</formula2>
    </dataValidation>
    <dataValidation allowBlank="true" error="Elija una gama" errorStyle="stop" errorTitle="Valor no válido" operator="between" showDropDown="false" showErrorMessage="true" showInputMessage="false" sqref="C2:C101" type="list">
      <formula1>Gamas!$A$2:$A$4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28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1" min="10" style="0" width="14"/>
    <col collapsed="false" customWidth="true" hidden="false" outlineLevel="0" max="13" min="12" style="0" width="12"/>
    <col collapsed="false" customWidth="true" hidden="false" outlineLevel="0" max="14" min="14" style="0" width="10"/>
    <col collapsed="false" customWidth="true" hidden="false" outlineLevel="0" max="15" min="15" style="0" width="30"/>
  </cols>
  <sheetData>
    <row r="1" customFormat="false" ht="42" hidden="false" customHeight="true" outlineLevel="0" collapsed="false">
      <c r="A1" s="10" t="s">
        <v>87</v>
      </c>
      <c r="B1" s="10" t="s">
        <v>88</v>
      </c>
      <c r="C1" s="10" t="s">
        <v>89</v>
      </c>
      <c r="D1" s="10" t="s">
        <v>90</v>
      </c>
      <c r="E1" s="10" t="s">
        <v>91</v>
      </c>
      <c r="F1" s="10" t="s">
        <v>92</v>
      </c>
      <c r="G1" s="10" t="s">
        <v>93</v>
      </c>
      <c r="H1" s="10" t="s">
        <v>94</v>
      </c>
      <c r="I1" s="10" t="s">
        <v>95</v>
      </c>
      <c r="J1" s="10" t="s">
        <v>96</v>
      </c>
      <c r="K1" s="10" t="s">
        <v>97</v>
      </c>
      <c r="L1" s="10" t="s">
        <v>98</v>
      </c>
      <c r="M1" s="10" t="s">
        <v>99</v>
      </c>
      <c r="N1" s="10" t="s">
        <v>100</v>
      </c>
      <c r="O1" s="10" t="s">
        <v>68</v>
      </c>
    </row>
    <row r="2" customFormat="false" ht="15" hidden="false" customHeight="false" outlineLevel="0" collapsed="false">
      <c r="A2" s="13" t="s">
        <v>101</v>
      </c>
      <c r="B2" s="13"/>
      <c r="C2" s="13" t="s">
        <v>41</v>
      </c>
      <c r="D2" s="13" t="s">
        <v>102</v>
      </c>
      <c r="E2" s="13" t="s">
        <v>103</v>
      </c>
      <c r="F2" s="13" t="s">
        <v>104</v>
      </c>
      <c r="G2" s="13" t="s">
        <v>105</v>
      </c>
      <c r="H2" s="13" t="n">
        <v>6</v>
      </c>
      <c r="I2" s="13" t="s">
        <v>58</v>
      </c>
      <c r="J2" s="14" t="n">
        <v>650</v>
      </c>
      <c r="K2" s="14" t="n">
        <v>220</v>
      </c>
      <c r="L2" s="13" t="n">
        <v>5</v>
      </c>
      <c r="M2" s="13" t="n">
        <v>5</v>
      </c>
      <c r="N2" s="17" t="n">
        <f aca="false">IF(OR(J2="",K2="",J2=0),"",(J2-K2)/J2)</f>
        <v>0.661538461538462</v>
      </c>
      <c r="O2" s="13" t="s">
        <v>5</v>
      </c>
    </row>
    <row r="3" customFormat="false" ht="15" hidden="false" customHeight="false" outlineLevel="0" collapsed="false">
      <c r="A3" s="11"/>
      <c r="B3" s="11"/>
      <c r="C3" s="11"/>
      <c r="D3" s="11"/>
      <c r="E3" s="11"/>
      <c r="F3" s="11"/>
      <c r="G3" s="11"/>
      <c r="H3" s="11"/>
      <c r="I3" s="11"/>
      <c r="J3" s="15"/>
      <c r="K3" s="15"/>
      <c r="L3" s="11"/>
      <c r="M3" s="11"/>
      <c r="N3" s="17" t="str">
        <f aca="false">IF(OR(J3="",K3="",J3=0),"",(J3-K3)/J3)</f>
        <v/>
      </c>
      <c r="O3" s="11"/>
    </row>
    <row r="4" customFormat="false" ht="15" hidden="false" customHeight="false" outlineLevel="0" collapsed="false">
      <c r="A4" s="11"/>
      <c r="B4" s="11"/>
      <c r="C4" s="11"/>
      <c r="D4" s="11"/>
      <c r="E4" s="11"/>
      <c r="F4" s="11"/>
      <c r="G4" s="11"/>
      <c r="H4" s="11"/>
      <c r="I4" s="11"/>
      <c r="J4" s="15"/>
      <c r="K4" s="15"/>
      <c r="L4" s="11"/>
      <c r="M4" s="11"/>
      <c r="N4" s="17" t="str">
        <f aca="false">IF(OR(J4="",K4="",J4=0),"",(J4-K4)/J4)</f>
        <v/>
      </c>
      <c r="O4" s="11"/>
    </row>
    <row r="5" customFormat="false" ht="15" hidden="false" customHeight="false" outlineLevel="0" collapsed="false">
      <c r="A5" s="11"/>
      <c r="B5" s="11"/>
      <c r="C5" s="11"/>
      <c r="D5" s="11"/>
      <c r="E5" s="11"/>
      <c r="F5" s="11"/>
      <c r="G5" s="11"/>
      <c r="H5" s="11"/>
      <c r="I5" s="11"/>
      <c r="J5" s="15"/>
      <c r="K5" s="15"/>
      <c r="L5" s="11"/>
      <c r="M5" s="11"/>
      <c r="N5" s="17" t="str">
        <f aca="false">IF(OR(J5="",K5="",J5=0),"",(J5-K5)/J5)</f>
        <v/>
      </c>
      <c r="O5" s="11"/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1"/>
      <c r="H6" s="11"/>
      <c r="I6" s="11"/>
      <c r="J6" s="15"/>
      <c r="K6" s="15"/>
      <c r="L6" s="11"/>
      <c r="M6" s="11"/>
      <c r="N6" s="17" t="str">
        <f aca="false">IF(OR(J6="",K6="",J6=0),"",(J6-K6)/J6)</f>
        <v/>
      </c>
      <c r="O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  <c r="H7" s="11"/>
      <c r="I7" s="11"/>
      <c r="J7" s="15"/>
      <c r="K7" s="15"/>
      <c r="L7" s="11"/>
      <c r="M7" s="11"/>
      <c r="N7" s="17" t="str">
        <f aca="false">IF(OR(J7="",K7="",J7=0),"",(J7-K7)/J7)</f>
        <v/>
      </c>
      <c r="O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5"/>
      <c r="K8" s="15"/>
      <c r="L8" s="11"/>
      <c r="M8" s="11"/>
      <c r="N8" s="17" t="str">
        <f aca="false">IF(OR(J8="",K8="",J8=0),"",(J8-K8)/J8)</f>
        <v/>
      </c>
      <c r="O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5"/>
      <c r="K9" s="15"/>
      <c r="L9" s="11"/>
      <c r="M9" s="11"/>
      <c r="N9" s="17" t="str">
        <f aca="false">IF(OR(J9="",K9="",J9=0),"",(J9-K9)/J9)</f>
        <v/>
      </c>
      <c r="O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5"/>
      <c r="K10" s="15"/>
      <c r="L10" s="11"/>
      <c r="M10" s="11"/>
      <c r="N10" s="17" t="str">
        <f aca="false">IF(OR(J10="",K10="",J10=0),"",(J10-K10)/J10)</f>
        <v/>
      </c>
      <c r="O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5"/>
      <c r="K11" s="15"/>
      <c r="L11" s="11"/>
      <c r="M11" s="11"/>
      <c r="N11" s="17" t="str">
        <f aca="false">IF(OR(J11="",K11="",J11=0),"",(J11-K11)/J11)</f>
        <v/>
      </c>
      <c r="O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5"/>
      <c r="K12" s="15"/>
      <c r="L12" s="11"/>
      <c r="M12" s="11"/>
      <c r="N12" s="17" t="str">
        <f aca="false">IF(OR(J12="",K12="",J12=0),"",(J12-K12)/J12)</f>
        <v/>
      </c>
      <c r="O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5"/>
      <c r="K13" s="15"/>
      <c r="L13" s="11"/>
      <c r="M13" s="11"/>
      <c r="N13" s="17" t="str">
        <f aca="false">IF(OR(J13="",K13="",J13=0),"",(J13-K13)/J13)</f>
        <v/>
      </c>
      <c r="O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5"/>
      <c r="K14" s="15"/>
      <c r="L14" s="11"/>
      <c r="M14" s="11"/>
      <c r="N14" s="17" t="str">
        <f aca="false">IF(OR(J14="",K14="",J14=0),"",(J14-K14)/J14)</f>
        <v/>
      </c>
      <c r="O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5"/>
      <c r="K15" s="15"/>
      <c r="L15" s="11"/>
      <c r="M15" s="11"/>
      <c r="N15" s="17" t="str">
        <f aca="false">IF(OR(J15="",K15="",J15=0),"",(J15-K15)/J15)</f>
        <v/>
      </c>
      <c r="O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5"/>
      <c r="K16" s="15"/>
      <c r="L16" s="11"/>
      <c r="M16" s="11"/>
      <c r="N16" s="17" t="str">
        <f aca="false">IF(OR(J16="",K16="",J16=0),"",(J16-K16)/J16)</f>
        <v/>
      </c>
      <c r="O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5"/>
      <c r="K17" s="15"/>
      <c r="L17" s="11"/>
      <c r="M17" s="11"/>
      <c r="N17" s="17" t="str">
        <f aca="false">IF(OR(J17="",K17="",J17=0),"",(J17-K17)/J17)</f>
        <v/>
      </c>
      <c r="O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5"/>
      <c r="K18" s="15"/>
      <c r="L18" s="11"/>
      <c r="M18" s="11"/>
      <c r="N18" s="17" t="str">
        <f aca="false">IF(OR(J18="",K18="",J18=0),"",(J18-K18)/J18)</f>
        <v/>
      </c>
      <c r="O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5"/>
      <c r="K19" s="15"/>
      <c r="L19" s="11"/>
      <c r="M19" s="11"/>
      <c r="N19" s="17" t="str">
        <f aca="false">IF(OR(J19="",K19="",J19=0),"",(J19-K19)/J19)</f>
        <v/>
      </c>
      <c r="O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5"/>
      <c r="K20" s="15"/>
      <c r="L20" s="11"/>
      <c r="M20" s="11"/>
      <c r="N20" s="17" t="str">
        <f aca="false">IF(OR(J20="",K20="",J20=0),"",(J20-K20)/J20)</f>
        <v/>
      </c>
      <c r="O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5"/>
      <c r="K21" s="15"/>
      <c r="L21" s="11"/>
      <c r="M21" s="11"/>
      <c r="N21" s="17" t="str">
        <f aca="false">IF(OR(J21="",K21="",J21=0),"",(J21-K21)/J21)</f>
        <v/>
      </c>
      <c r="O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5"/>
      <c r="K22" s="15"/>
      <c r="L22" s="11"/>
      <c r="M22" s="11"/>
      <c r="N22" s="17" t="str">
        <f aca="false">IF(OR(J22="",K22="",J22=0),"",(J22-K22)/J22)</f>
        <v/>
      </c>
      <c r="O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5"/>
      <c r="K23" s="15"/>
      <c r="L23" s="11"/>
      <c r="M23" s="11"/>
      <c r="N23" s="17" t="str">
        <f aca="false">IF(OR(J23="",K23="",J23=0),"",(J23-K23)/J23)</f>
        <v/>
      </c>
      <c r="O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5"/>
      <c r="K24" s="15"/>
      <c r="L24" s="11"/>
      <c r="M24" s="11"/>
      <c r="N24" s="17" t="str">
        <f aca="false">IF(OR(J24="",K24="",J24=0),"",(J24-K24)/J24)</f>
        <v/>
      </c>
      <c r="O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5"/>
      <c r="K25" s="15"/>
      <c r="L25" s="11"/>
      <c r="M25" s="11"/>
      <c r="N25" s="17" t="str">
        <f aca="false">IF(OR(J25="",K25="",J25=0),"",(J25-K25)/J25)</f>
        <v/>
      </c>
      <c r="O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5"/>
      <c r="K26" s="15"/>
      <c r="L26" s="11"/>
      <c r="M26" s="11"/>
      <c r="N26" s="17" t="str">
        <f aca="false">IF(OR(J26="",K26="",J26=0),"",(J26-K26)/J26)</f>
        <v/>
      </c>
      <c r="O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5"/>
      <c r="K27" s="15"/>
      <c r="L27" s="11"/>
      <c r="M27" s="11"/>
      <c r="N27" s="17" t="str">
        <f aca="false">IF(OR(J27="",K27="",J27=0),"",(J27-K27)/J27)</f>
        <v/>
      </c>
      <c r="O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5"/>
      <c r="K28" s="15"/>
      <c r="L28" s="11"/>
      <c r="M28" s="11"/>
      <c r="N28" s="17" t="str">
        <f aca="false">IF(OR(J28="",K28="",J28=0),"",(J28-K28)/J28)</f>
        <v/>
      </c>
      <c r="O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5"/>
      <c r="K29" s="15"/>
      <c r="L29" s="11"/>
      <c r="M29" s="11"/>
      <c r="N29" s="17" t="str">
        <f aca="false">IF(OR(J29="",K29="",J29=0),"",(J29-K29)/J29)</f>
        <v/>
      </c>
      <c r="O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5"/>
      <c r="K30" s="15"/>
      <c r="L30" s="11"/>
      <c r="M30" s="11"/>
      <c r="N30" s="17" t="str">
        <f aca="false">IF(OR(J30="",K30="",J30=0),"",(J30-K30)/J30)</f>
        <v/>
      </c>
      <c r="O30" s="11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5"/>
      <c r="K31" s="15"/>
      <c r="L31" s="11"/>
      <c r="M31" s="11"/>
      <c r="N31" s="17" t="str">
        <f aca="false">IF(OR(J31="",K31="",J31=0),"",(J31-K31)/J31)</f>
        <v/>
      </c>
      <c r="O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5"/>
      <c r="K32" s="15"/>
      <c r="L32" s="11"/>
      <c r="M32" s="11"/>
      <c r="N32" s="17" t="str">
        <f aca="false">IF(OR(J32="",K32="",J32=0),"",(J32-K32)/J32)</f>
        <v/>
      </c>
      <c r="O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5"/>
      <c r="K33" s="15"/>
      <c r="L33" s="11"/>
      <c r="M33" s="11"/>
      <c r="N33" s="17" t="str">
        <f aca="false">IF(OR(J33="",K33="",J33=0),"",(J33-K33)/J33)</f>
        <v/>
      </c>
      <c r="O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5"/>
      <c r="K34" s="15"/>
      <c r="L34" s="11"/>
      <c r="M34" s="11"/>
      <c r="N34" s="17" t="str">
        <f aca="false">IF(OR(J34="",K34="",J34=0),"",(J34-K34)/J34)</f>
        <v/>
      </c>
      <c r="O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5"/>
      <c r="K35" s="15"/>
      <c r="L35" s="11"/>
      <c r="M35" s="11"/>
      <c r="N35" s="17" t="str">
        <f aca="false">IF(OR(J35="",K35="",J35=0),"",(J35-K35)/J35)</f>
        <v/>
      </c>
      <c r="O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5"/>
      <c r="K36" s="15"/>
      <c r="L36" s="11"/>
      <c r="M36" s="11"/>
      <c r="N36" s="17" t="str">
        <f aca="false">IF(OR(J36="",K36="",J36=0),"",(J36-K36)/J36)</f>
        <v/>
      </c>
      <c r="O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5"/>
      <c r="K37" s="15"/>
      <c r="L37" s="11"/>
      <c r="M37" s="11"/>
      <c r="N37" s="17" t="str">
        <f aca="false">IF(OR(J37="",K37="",J37=0),"",(J37-K37)/J37)</f>
        <v/>
      </c>
      <c r="O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5"/>
      <c r="K38" s="15"/>
      <c r="L38" s="11"/>
      <c r="M38" s="11"/>
      <c r="N38" s="17" t="str">
        <f aca="false">IF(OR(J38="",K38="",J38=0),"",(J38-K38)/J38)</f>
        <v/>
      </c>
      <c r="O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5"/>
      <c r="K39" s="15"/>
      <c r="L39" s="11"/>
      <c r="M39" s="11"/>
      <c r="N39" s="17" t="str">
        <f aca="false">IF(OR(J39="",K39="",J39=0),"",(J39-K39)/J39)</f>
        <v/>
      </c>
      <c r="O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5"/>
      <c r="K40" s="15"/>
      <c r="L40" s="11"/>
      <c r="M40" s="11"/>
      <c r="N40" s="17" t="str">
        <f aca="false">IF(OR(J40="",K40="",J40=0),"",(J40-K40)/J40)</f>
        <v/>
      </c>
      <c r="O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  <c r="H41" s="11"/>
      <c r="I41" s="11"/>
      <c r="J41" s="15"/>
      <c r="K41" s="15"/>
      <c r="L41" s="11"/>
      <c r="M41" s="11"/>
      <c r="N41" s="17" t="str">
        <f aca="false">IF(OR(J41="",K41="",J41=0),"",(J41-K41)/J41)</f>
        <v/>
      </c>
      <c r="O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5"/>
      <c r="K42" s="15"/>
      <c r="L42" s="11"/>
      <c r="M42" s="11"/>
      <c r="N42" s="17" t="str">
        <f aca="false">IF(OR(J42="",K42="",J42=0),"",(J42-K42)/J42)</f>
        <v/>
      </c>
      <c r="O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5"/>
      <c r="K43" s="15"/>
      <c r="L43" s="11"/>
      <c r="M43" s="11"/>
      <c r="N43" s="17" t="str">
        <f aca="false">IF(OR(J43="",K43="",J43=0),"",(J43-K43)/J43)</f>
        <v/>
      </c>
      <c r="O43" s="11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5"/>
      <c r="K44" s="15"/>
      <c r="L44" s="11"/>
      <c r="M44" s="11"/>
      <c r="N44" s="17" t="str">
        <f aca="false">IF(OR(J44="",K44="",J44=0),"",(J44-K44)/J44)</f>
        <v/>
      </c>
      <c r="O44" s="11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  <c r="H45" s="11"/>
      <c r="I45" s="11"/>
      <c r="J45" s="15"/>
      <c r="K45" s="15"/>
      <c r="L45" s="11"/>
      <c r="M45" s="11"/>
      <c r="N45" s="17" t="str">
        <f aca="false">IF(OR(J45="",K45="",J45=0),"",(J45-K45)/J45)</f>
        <v/>
      </c>
      <c r="O45" s="11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5"/>
      <c r="K46" s="15"/>
      <c r="L46" s="11"/>
      <c r="M46" s="11"/>
      <c r="N46" s="17" t="str">
        <f aca="false">IF(OR(J46="",K46="",J46=0),"",(J46-K46)/J46)</f>
        <v/>
      </c>
      <c r="O46" s="11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1"/>
      <c r="H47" s="11"/>
      <c r="I47" s="11"/>
      <c r="J47" s="15"/>
      <c r="K47" s="15"/>
      <c r="L47" s="11"/>
      <c r="M47" s="11"/>
      <c r="N47" s="17" t="str">
        <f aca="false">IF(OR(J47="",K47="",J47=0),"",(J47-K47)/J47)</f>
        <v/>
      </c>
      <c r="O47" s="11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5"/>
      <c r="K48" s="15"/>
      <c r="L48" s="11"/>
      <c r="M48" s="11"/>
      <c r="N48" s="17" t="str">
        <f aca="false">IF(OR(J48="",K48="",J48=0),"",(J48-K48)/J48)</f>
        <v/>
      </c>
      <c r="O48" s="11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  <c r="H49" s="11"/>
      <c r="I49" s="11"/>
      <c r="J49" s="15"/>
      <c r="K49" s="15"/>
      <c r="L49" s="11"/>
      <c r="M49" s="11"/>
      <c r="N49" s="17" t="str">
        <f aca="false">IF(OR(J49="",K49="",J49=0),"",(J49-K49)/J49)</f>
        <v/>
      </c>
      <c r="O49" s="11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  <c r="H50" s="11"/>
      <c r="I50" s="11"/>
      <c r="J50" s="15"/>
      <c r="K50" s="15"/>
      <c r="L50" s="11"/>
      <c r="M50" s="11"/>
      <c r="N50" s="17" t="str">
        <f aca="false">IF(OR(J50="",K50="",J50=0),"",(J50-K50)/J50)</f>
        <v/>
      </c>
      <c r="O50" s="11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  <c r="H51" s="11"/>
      <c r="I51" s="11"/>
      <c r="J51" s="15"/>
      <c r="K51" s="15"/>
      <c r="L51" s="11"/>
      <c r="M51" s="11"/>
      <c r="N51" s="17" t="str">
        <f aca="false">IF(OR(J51="",K51="",J51=0),"",(J51-K51)/J51)</f>
        <v/>
      </c>
      <c r="O51" s="11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  <c r="H52" s="11"/>
      <c r="I52" s="11"/>
      <c r="J52" s="15"/>
      <c r="K52" s="15"/>
      <c r="L52" s="11"/>
      <c r="M52" s="11"/>
      <c r="N52" s="17" t="str">
        <f aca="false">IF(OR(J52="",K52="",J52=0),"",(J52-K52)/J52)</f>
        <v/>
      </c>
      <c r="O52" s="11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  <c r="H53" s="11"/>
      <c r="I53" s="11"/>
      <c r="J53" s="15"/>
      <c r="K53" s="15"/>
      <c r="L53" s="11"/>
      <c r="M53" s="11"/>
      <c r="N53" s="17" t="str">
        <f aca="false">IF(OR(J53="",K53="",J53=0),"",(J53-K53)/J53)</f>
        <v/>
      </c>
      <c r="O53" s="11"/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  <c r="H54" s="11"/>
      <c r="I54" s="11"/>
      <c r="J54" s="15"/>
      <c r="K54" s="15"/>
      <c r="L54" s="11"/>
      <c r="M54" s="11"/>
      <c r="N54" s="17" t="str">
        <f aca="false">IF(OR(J54="",K54="",J54=0),"",(J54-K54)/J54)</f>
        <v/>
      </c>
      <c r="O54" s="11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  <c r="H55" s="11"/>
      <c r="I55" s="11"/>
      <c r="J55" s="15"/>
      <c r="K55" s="15"/>
      <c r="L55" s="11"/>
      <c r="M55" s="11"/>
      <c r="N55" s="17" t="str">
        <f aca="false">IF(OR(J55="",K55="",J55=0),"",(J55-K55)/J55)</f>
        <v/>
      </c>
      <c r="O55" s="11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  <c r="H56" s="11"/>
      <c r="I56" s="11"/>
      <c r="J56" s="15"/>
      <c r="K56" s="15"/>
      <c r="L56" s="11"/>
      <c r="M56" s="11"/>
      <c r="N56" s="17" t="str">
        <f aca="false">IF(OR(J56="",K56="",J56=0),"",(J56-K56)/J56)</f>
        <v/>
      </c>
      <c r="O56" s="11"/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1"/>
      <c r="H57" s="11"/>
      <c r="I57" s="11"/>
      <c r="J57" s="15"/>
      <c r="K57" s="15"/>
      <c r="L57" s="11"/>
      <c r="M57" s="11"/>
      <c r="N57" s="17" t="str">
        <f aca="false">IF(OR(J57="",K57="",J57=0),"",(J57-K57)/J57)</f>
        <v/>
      </c>
      <c r="O57" s="11"/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1"/>
      <c r="H58" s="11"/>
      <c r="I58" s="11"/>
      <c r="J58" s="15"/>
      <c r="K58" s="15"/>
      <c r="L58" s="11"/>
      <c r="M58" s="11"/>
      <c r="N58" s="17" t="str">
        <f aca="false">IF(OR(J58="",K58="",J58=0),"",(J58-K58)/J58)</f>
        <v/>
      </c>
      <c r="O58" s="11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  <c r="H59" s="11"/>
      <c r="I59" s="11"/>
      <c r="J59" s="15"/>
      <c r="K59" s="15"/>
      <c r="L59" s="11"/>
      <c r="M59" s="11"/>
      <c r="N59" s="17" t="str">
        <f aca="false">IF(OR(J59="",K59="",J59=0),"",(J59-K59)/J59)</f>
        <v/>
      </c>
      <c r="O59" s="11"/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  <c r="G60" s="11"/>
      <c r="H60" s="11"/>
      <c r="I60" s="11"/>
      <c r="J60" s="15"/>
      <c r="K60" s="15"/>
      <c r="L60" s="11"/>
      <c r="M60" s="11"/>
      <c r="N60" s="17" t="str">
        <f aca="false">IF(OR(J60="",K60="",J60=0),"",(J60-K60)/J60)</f>
        <v/>
      </c>
      <c r="O60" s="11"/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  <c r="G61" s="11"/>
      <c r="H61" s="11"/>
      <c r="I61" s="11"/>
      <c r="J61" s="15"/>
      <c r="K61" s="15"/>
      <c r="L61" s="11"/>
      <c r="M61" s="11"/>
      <c r="N61" s="17" t="str">
        <f aca="false">IF(OR(J61="",K61="",J61=0),"",(J61-K61)/J61)</f>
        <v/>
      </c>
      <c r="O61" s="11"/>
    </row>
    <row r="62" customFormat="false" ht="15" hidden="false" customHeight="false" outlineLevel="0" collapsed="false">
      <c r="A62" s="11"/>
      <c r="B62" s="11"/>
      <c r="C62" s="11"/>
      <c r="D62" s="11"/>
      <c r="E62" s="11"/>
      <c r="F62" s="11"/>
      <c r="G62" s="11"/>
      <c r="H62" s="11"/>
      <c r="I62" s="11"/>
      <c r="J62" s="15"/>
      <c r="K62" s="15"/>
      <c r="L62" s="11"/>
      <c r="M62" s="11"/>
      <c r="N62" s="17" t="str">
        <f aca="false">IF(OR(J62="",K62="",J62=0),"",(J62-K62)/J62)</f>
        <v/>
      </c>
      <c r="O62" s="11"/>
    </row>
    <row r="63" customFormat="false" ht="15" hidden="false" customHeight="false" outlineLevel="0" collapsed="false">
      <c r="A63" s="11"/>
      <c r="B63" s="11"/>
      <c r="C63" s="11"/>
      <c r="D63" s="11"/>
      <c r="E63" s="11"/>
      <c r="F63" s="11"/>
      <c r="G63" s="11"/>
      <c r="H63" s="11"/>
      <c r="I63" s="11"/>
      <c r="J63" s="15"/>
      <c r="K63" s="15"/>
      <c r="L63" s="11"/>
      <c r="M63" s="11"/>
      <c r="N63" s="17" t="str">
        <f aca="false">IF(OR(J63="",K63="",J63=0),"",(J63-K63)/J63)</f>
        <v/>
      </c>
      <c r="O63" s="11"/>
    </row>
    <row r="64" customFormat="false" ht="15" hidden="false" customHeight="false" outlineLevel="0" collapsed="false">
      <c r="A64" s="11"/>
      <c r="B64" s="11"/>
      <c r="C64" s="11"/>
      <c r="D64" s="11"/>
      <c r="E64" s="11"/>
      <c r="F64" s="11"/>
      <c r="G64" s="11"/>
      <c r="H64" s="11"/>
      <c r="I64" s="11"/>
      <c r="J64" s="15"/>
      <c r="K64" s="15"/>
      <c r="L64" s="11"/>
      <c r="M64" s="11"/>
      <c r="N64" s="17" t="str">
        <f aca="false">IF(OR(J64="",K64="",J64=0),"",(J64-K64)/J64)</f>
        <v/>
      </c>
      <c r="O64" s="11"/>
    </row>
    <row r="65" customFormat="false" ht="15" hidden="false" customHeight="false" outlineLevel="0" collapsed="false">
      <c r="A65" s="11"/>
      <c r="B65" s="11"/>
      <c r="C65" s="11"/>
      <c r="D65" s="11"/>
      <c r="E65" s="11"/>
      <c r="F65" s="11"/>
      <c r="G65" s="11"/>
      <c r="H65" s="11"/>
      <c r="I65" s="11"/>
      <c r="J65" s="15"/>
      <c r="K65" s="15"/>
      <c r="L65" s="11"/>
      <c r="M65" s="11"/>
      <c r="N65" s="17" t="str">
        <f aca="false">IF(OR(J65="",K65="",J65=0),"",(J65-K65)/J65)</f>
        <v/>
      </c>
      <c r="O65" s="11"/>
    </row>
    <row r="66" customFormat="false" ht="15" hidden="false" customHeight="false" outlineLevel="0" collapsed="false">
      <c r="A66" s="11"/>
      <c r="B66" s="11"/>
      <c r="C66" s="11"/>
      <c r="D66" s="11"/>
      <c r="E66" s="11"/>
      <c r="F66" s="11"/>
      <c r="G66" s="11"/>
      <c r="H66" s="11"/>
      <c r="I66" s="11"/>
      <c r="J66" s="15"/>
      <c r="K66" s="15"/>
      <c r="L66" s="11"/>
      <c r="M66" s="11"/>
      <c r="N66" s="17" t="str">
        <f aca="false">IF(OR(J66="",K66="",J66=0),"",(J66-K66)/J66)</f>
        <v/>
      </c>
      <c r="O66" s="11"/>
    </row>
    <row r="67" customFormat="false" ht="15" hidden="false" customHeight="false" outlineLevel="0" collapsed="false">
      <c r="A67" s="11"/>
      <c r="B67" s="11"/>
      <c r="C67" s="11"/>
      <c r="D67" s="11"/>
      <c r="E67" s="11"/>
      <c r="F67" s="11"/>
      <c r="G67" s="11"/>
      <c r="H67" s="11"/>
      <c r="I67" s="11"/>
      <c r="J67" s="15"/>
      <c r="K67" s="15"/>
      <c r="L67" s="11"/>
      <c r="M67" s="11"/>
      <c r="N67" s="17" t="str">
        <f aca="false">IF(OR(J67="",K67="",J67=0),"",(J67-K67)/J67)</f>
        <v/>
      </c>
      <c r="O67" s="11"/>
    </row>
    <row r="68" customFormat="false" ht="15" hidden="false" customHeight="false" outlineLevel="0" collapsed="false">
      <c r="A68" s="11"/>
      <c r="B68" s="11"/>
      <c r="C68" s="11"/>
      <c r="D68" s="11"/>
      <c r="E68" s="11"/>
      <c r="F68" s="11"/>
      <c r="G68" s="11"/>
      <c r="H68" s="11"/>
      <c r="I68" s="11"/>
      <c r="J68" s="15"/>
      <c r="K68" s="15"/>
      <c r="L68" s="11"/>
      <c r="M68" s="11"/>
      <c r="N68" s="17" t="str">
        <f aca="false">IF(OR(J68="",K68="",J68=0),"",(J68-K68)/J68)</f>
        <v/>
      </c>
      <c r="O68" s="11"/>
    </row>
    <row r="69" customFormat="false" ht="15" hidden="false" customHeight="false" outlineLevel="0" collapsed="false">
      <c r="A69" s="11"/>
      <c r="B69" s="11"/>
      <c r="C69" s="11"/>
      <c r="D69" s="11"/>
      <c r="E69" s="11"/>
      <c r="F69" s="11"/>
      <c r="G69" s="11"/>
      <c r="H69" s="11"/>
      <c r="I69" s="11"/>
      <c r="J69" s="15"/>
      <c r="K69" s="15"/>
      <c r="L69" s="11"/>
      <c r="M69" s="11"/>
      <c r="N69" s="17" t="str">
        <f aca="false">IF(OR(J69="",K69="",J69=0),"",(J69-K69)/J69)</f>
        <v/>
      </c>
      <c r="O69" s="11"/>
    </row>
    <row r="70" customFormat="false" ht="15" hidden="false" customHeight="false" outlineLevel="0" collapsed="false">
      <c r="A70" s="11"/>
      <c r="B70" s="11"/>
      <c r="C70" s="11"/>
      <c r="D70" s="11"/>
      <c r="E70" s="11"/>
      <c r="F70" s="11"/>
      <c r="G70" s="11"/>
      <c r="H70" s="11"/>
      <c r="I70" s="11"/>
      <c r="J70" s="15"/>
      <c r="K70" s="15"/>
      <c r="L70" s="11"/>
      <c r="M70" s="11"/>
      <c r="N70" s="17" t="str">
        <f aca="false">IF(OR(J70="",K70="",J70=0),"",(J70-K70)/J70)</f>
        <v/>
      </c>
      <c r="O70" s="11"/>
    </row>
    <row r="71" customFormat="false" ht="15" hidden="false" customHeight="false" outlineLevel="0" collapsed="false">
      <c r="A71" s="11"/>
      <c r="B71" s="11"/>
      <c r="C71" s="11"/>
      <c r="D71" s="11"/>
      <c r="E71" s="11"/>
      <c r="F71" s="11"/>
      <c r="G71" s="11"/>
      <c r="H71" s="11"/>
      <c r="I71" s="11"/>
      <c r="J71" s="15"/>
      <c r="K71" s="15"/>
      <c r="L71" s="11"/>
      <c r="M71" s="11"/>
      <c r="N71" s="17" t="str">
        <f aca="false">IF(OR(J71="",K71="",J71=0),"",(J71-K71)/J71)</f>
        <v/>
      </c>
      <c r="O71" s="11"/>
    </row>
    <row r="72" customFormat="false" ht="15" hidden="false" customHeight="false" outlineLevel="0" collapsed="false">
      <c r="A72" s="11"/>
      <c r="B72" s="11"/>
      <c r="C72" s="11"/>
      <c r="D72" s="11"/>
      <c r="E72" s="11"/>
      <c r="F72" s="11"/>
      <c r="G72" s="11"/>
      <c r="H72" s="11"/>
      <c r="I72" s="11"/>
      <c r="J72" s="15"/>
      <c r="K72" s="15"/>
      <c r="L72" s="11"/>
      <c r="M72" s="11"/>
      <c r="N72" s="17" t="str">
        <f aca="false">IF(OR(J72="",K72="",J72=0),"",(J72-K72)/J72)</f>
        <v/>
      </c>
      <c r="O72" s="11"/>
    </row>
    <row r="73" customFormat="false" ht="15" hidden="false" customHeight="false" outlineLevel="0" collapsed="false">
      <c r="A73" s="11"/>
      <c r="B73" s="11"/>
      <c r="C73" s="11"/>
      <c r="D73" s="11"/>
      <c r="E73" s="11"/>
      <c r="F73" s="11"/>
      <c r="G73" s="11"/>
      <c r="H73" s="11"/>
      <c r="I73" s="11"/>
      <c r="J73" s="15"/>
      <c r="K73" s="15"/>
      <c r="L73" s="11"/>
      <c r="M73" s="11"/>
      <c r="N73" s="17" t="str">
        <f aca="false">IF(OR(J73="",K73="",J73=0),"",(J73-K73)/J73)</f>
        <v/>
      </c>
      <c r="O73" s="11"/>
    </row>
    <row r="74" customFormat="false" ht="15" hidden="false" customHeight="false" outlineLevel="0" collapsed="false">
      <c r="A74" s="11"/>
      <c r="B74" s="11"/>
      <c r="C74" s="11"/>
      <c r="D74" s="11"/>
      <c r="E74" s="11"/>
      <c r="F74" s="11"/>
      <c r="G74" s="11"/>
      <c r="H74" s="11"/>
      <c r="I74" s="11"/>
      <c r="J74" s="15"/>
      <c r="K74" s="15"/>
      <c r="L74" s="11"/>
      <c r="M74" s="11"/>
      <c r="N74" s="17" t="str">
        <f aca="false">IF(OR(J74="",K74="",J74=0),"",(J74-K74)/J74)</f>
        <v/>
      </c>
      <c r="O74" s="11"/>
    </row>
    <row r="75" customFormat="false" ht="15" hidden="false" customHeight="false" outlineLevel="0" collapsed="false">
      <c r="A75" s="11"/>
      <c r="B75" s="11"/>
      <c r="C75" s="11"/>
      <c r="D75" s="11"/>
      <c r="E75" s="11"/>
      <c r="F75" s="11"/>
      <c r="G75" s="11"/>
      <c r="H75" s="11"/>
      <c r="I75" s="11"/>
      <c r="J75" s="15"/>
      <c r="K75" s="15"/>
      <c r="L75" s="11"/>
      <c r="M75" s="11"/>
      <c r="N75" s="17" t="str">
        <f aca="false">IF(OR(J75="",K75="",J75=0),"",(J75-K75)/J75)</f>
        <v/>
      </c>
      <c r="O75" s="11"/>
    </row>
    <row r="76" customFormat="false" ht="15" hidden="false" customHeight="false" outlineLevel="0" collapsed="false">
      <c r="A76" s="11"/>
      <c r="B76" s="11"/>
      <c r="C76" s="11"/>
      <c r="D76" s="11"/>
      <c r="E76" s="11"/>
      <c r="F76" s="11"/>
      <c r="G76" s="11"/>
      <c r="H76" s="11"/>
      <c r="I76" s="11"/>
      <c r="J76" s="15"/>
      <c r="K76" s="15"/>
      <c r="L76" s="11"/>
      <c r="M76" s="11"/>
      <c r="N76" s="17" t="str">
        <f aca="false">IF(OR(J76="",K76="",J76=0),"",(J76-K76)/J76)</f>
        <v/>
      </c>
      <c r="O76" s="11"/>
    </row>
    <row r="77" customFormat="false" ht="15" hidden="false" customHeight="false" outlineLevel="0" collapsed="false">
      <c r="A77" s="11"/>
      <c r="B77" s="11"/>
      <c r="C77" s="11"/>
      <c r="D77" s="11"/>
      <c r="E77" s="11"/>
      <c r="F77" s="11"/>
      <c r="G77" s="11"/>
      <c r="H77" s="11"/>
      <c r="I77" s="11"/>
      <c r="J77" s="15"/>
      <c r="K77" s="15"/>
      <c r="L77" s="11"/>
      <c r="M77" s="11"/>
      <c r="N77" s="17" t="str">
        <f aca="false">IF(OR(J77="",K77="",J77=0),"",(J77-K77)/J77)</f>
        <v/>
      </c>
      <c r="O77" s="11"/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1"/>
      <c r="G78" s="11"/>
      <c r="H78" s="11"/>
      <c r="I78" s="11"/>
      <c r="J78" s="15"/>
      <c r="K78" s="15"/>
      <c r="L78" s="11"/>
      <c r="M78" s="11"/>
      <c r="N78" s="17" t="str">
        <f aca="false">IF(OR(J78="",K78="",J78=0),"",(J78-K78)/J78)</f>
        <v/>
      </c>
      <c r="O78" s="11"/>
    </row>
    <row r="79" customFormat="false" ht="15" hidden="false" customHeight="false" outlineLevel="0" collapsed="false">
      <c r="A79" s="11"/>
      <c r="B79" s="11"/>
      <c r="C79" s="11"/>
      <c r="D79" s="11"/>
      <c r="E79" s="11"/>
      <c r="F79" s="11"/>
      <c r="G79" s="11"/>
      <c r="H79" s="11"/>
      <c r="I79" s="11"/>
      <c r="J79" s="15"/>
      <c r="K79" s="15"/>
      <c r="L79" s="11"/>
      <c r="M79" s="11"/>
      <c r="N79" s="17" t="str">
        <f aca="false">IF(OR(J79="",K79="",J79=0),"",(J79-K79)/J79)</f>
        <v/>
      </c>
      <c r="O79" s="11"/>
    </row>
    <row r="80" customFormat="false" ht="15" hidden="false" customHeight="false" outlineLevel="0" collapsed="false">
      <c r="A80" s="11"/>
      <c r="B80" s="11"/>
      <c r="C80" s="11"/>
      <c r="D80" s="11"/>
      <c r="E80" s="11"/>
      <c r="F80" s="11"/>
      <c r="G80" s="11"/>
      <c r="H80" s="11"/>
      <c r="I80" s="11"/>
      <c r="J80" s="15"/>
      <c r="K80" s="15"/>
      <c r="L80" s="11"/>
      <c r="M80" s="11"/>
      <c r="N80" s="17" t="str">
        <f aca="false">IF(OR(J80="",K80="",J80=0),"",(J80-K80)/J80)</f>
        <v/>
      </c>
      <c r="O80" s="11"/>
    </row>
    <row r="81" customFormat="false" ht="15" hidden="false" customHeight="false" outlineLevel="0" collapsed="false">
      <c r="A81" s="11"/>
      <c r="B81" s="11"/>
      <c r="C81" s="11"/>
      <c r="D81" s="11"/>
      <c r="E81" s="11"/>
      <c r="F81" s="11"/>
      <c r="G81" s="11"/>
      <c r="H81" s="11"/>
      <c r="I81" s="11"/>
      <c r="J81" s="15"/>
      <c r="K81" s="15"/>
      <c r="L81" s="11"/>
      <c r="M81" s="11"/>
      <c r="N81" s="17" t="str">
        <f aca="false">IF(OR(J81="",K81="",J81=0),"",(J81-K81)/J81)</f>
        <v/>
      </c>
      <c r="O81" s="11"/>
    </row>
    <row r="82" customFormat="false" ht="15" hidden="false" customHeight="false" outlineLevel="0" collapsed="false">
      <c r="A82" s="11"/>
      <c r="B82" s="11"/>
      <c r="C82" s="11"/>
      <c r="D82" s="11"/>
      <c r="E82" s="11"/>
      <c r="F82" s="11"/>
      <c r="G82" s="11"/>
      <c r="H82" s="11"/>
      <c r="I82" s="11"/>
      <c r="J82" s="15"/>
      <c r="K82" s="15"/>
      <c r="L82" s="11"/>
      <c r="M82" s="11"/>
      <c r="N82" s="17" t="str">
        <f aca="false">IF(OR(J82="",K82="",J82=0),"",(J82-K82)/J82)</f>
        <v/>
      </c>
      <c r="O82" s="11"/>
    </row>
    <row r="83" customFormat="false" ht="15" hidden="false" customHeight="false" outlineLevel="0" collapsed="false">
      <c r="A83" s="11"/>
      <c r="B83" s="11"/>
      <c r="C83" s="11"/>
      <c r="D83" s="11"/>
      <c r="E83" s="11"/>
      <c r="F83" s="11"/>
      <c r="G83" s="11"/>
      <c r="H83" s="11"/>
      <c r="I83" s="11"/>
      <c r="J83" s="15"/>
      <c r="K83" s="15"/>
      <c r="L83" s="11"/>
      <c r="M83" s="11"/>
      <c r="N83" s="17" t="str">
        <f aca="false">IF(OR(J83="",K83="",J83=0),"",(J83-K83)/J83)</f>
        <v/>
      </c>
      <c r="O83" s="11"/>
    </row>
    <row r="84" customFormat="false" ht="15" hidden="false" customHeight="false" outlineLevel="0" collapsed="false">
      <c r="A84" s="11"/>
      <c r="B84" s="11"/>
      <c r="C84" s="11"/>
      <c r="D84" s="11"/>
      <c r="E84" s="11"/>
      <c r="F84" s="11"/>
      <c r="G84" s="11"/>
      <c r="H84" s="11"/>
      <c r="I84" s="11"/>
      <c r="J84" s="15"/>
      <c r="K84" s="15"/>
      <c r="L84" s="11"/>
      <c r="M84" s="11"/>
      <c r="N84" s="17" t="str">
        <f aca="false">IF(OR(J84="",K84="",J84=0),"",(J84-K84)/J84)</f>
        <v/>
      </c>
      <c r="O84" s="11"/>
    </row>
    <row r="85" customFormat="false" ht="15" hidden="false" customHeight="false" outlineLevel="0" collapsed="false">
      <c r="A85" s="11"/>
      <c r="B85" s="11"/>
      <c r="C85" s="11"/>
      <c r="D85" s="11"/>
      <c r="E85" s="11"/>
      <c r="F85" s="11"/>
      <c r="G85" s="11"/>
      <c r="H85" s="11"/>
      <c r="I85" s="11"/>
      <c r="J85" s="15"/>
      <c r="K85" s="15"/>
      <c r="L85" s="11"/>
      <c r="M85" s="11"/>
      <c r="N85" s="17" t="str">
        <f aca="false">IF(OR(J85="",K85="",J85=0),"",(J85-K85)/J85)</f>
        <v/>
      </c>
      <c r="O85" s="11"/>
    </row>
    <row r="86" customFormat="false" ht="15" hidden="false" customHeight="false" outlineLevel="0" collapsed="false">
      <c r="A86" s="11"/>
      <c r="B86" s="11"/>
      <c r="C86" s="11"/>
      <c r="D86" s="11"/>
      <c r="E86" s="11"/>
      <c r="F86" s="11"/>
      <c r="G86" s="11"/>
      <c r="H86" s="11"/>
      <c r="I86" s="11"/>
      <c r="J86" s="15"/>
      <c r="K86" s="15"/>
      <c r="L86" s="11"/>
      <c r="M86" s="11"/>
      <c r="N86" s="17" t="str">
        <f aca="false">IF(OR(J86="",K86="",J86=0),"",(J86-K86)/J86)</f>
        <v/>
      </c>
      <c r="O86" s="11"/>
    </row>
    <row r="87" customFormat="false" ht="15" hidden="false" customHeight="false" outlineLevel="0" collapsed="false">
      <c r="A87" s="11"/>
      <c r="B87" s="11"/>
      <c r="C87" s="11"/>
      <c r="D87" s="11"/>
      <c r="E87" s="11"/>
      <c r="F87" s="11"/>
      <c r="G87" s="11"/>
      <c r="H87" s="11"/>
      <c r="I87" s="11"/>
      <c r="J87" s="15"/>
      <c r="K87" s="15"/>
      <c r="L87" s="11"/>
      <c r="M87" s="11"/>
      <c r="N87" s="17" t="str">
        <f aca="false">IF(OR(J87="",K87="",J87=0),"",(J87-K87)/J87)</f>
        <v/>
      </c>
      <c r="O87" s="11"/>
    </row>
    <row r="88" customFormat="false" ht="15" hidden="false" customHeight="false" outlineLevel="0" collapsed="false">
      <c r="A88" s="11"/>
      <c r="B88" s="11"/>
      <c r="C88" s="11"/>
      <c r="D88" s="11"/>
      <c r="E88" s="11"/>
      <c r="F88" s="11"/>
      <c r="G88" s="11"/>
      <c r="H88" s="11"/>
      <c r="I88" s="11"/>
      <c r="J88" s="15"/>
      <c r="K88" s="15"/>
      <c r="L88" s="11"/>
      <c r="M88" s="11"/>
      <c r="N88" s="17" t="str">
        <f aca="false">IF(OR(J88="",K88="",J88=0),"",(J88-K88)/J88)</f>
        <v/>
      </c>
      <c r="O88" s="11"/>
    </row>
    <row r="89" customFormat="false" ht="15" hidden="false" customHeight="false" outlineLevel="0" collapsed="false">
      <c r="A89" s="11"/>
      <c r="B89" s="11"/>
      <c r="C89" s="11"/>
      <c r="D89" s="11"/>
      <c r="E89" s="11"/>
      <c r="F89" s="11"/>
      <c r="G89" s="11"/>
      <c r="H89" s="11"/>
      <c r="I89" s="11"/>
      <c r="J89" s="15"/>
      <c r="K89" s="15"/>
      <c r="L89" s="11"/>
      <c r="M89" s="11"/>
      <c r="N89" s="17" t="str">
        <f aca="false">IF(OR(J89="",K89="",J89=0),"",(J89-K89)/J89)</f>
        <v/>
      </c>
      <c r="O89" s="11"/>
    </row>
    <row r="90" customFormat="false" ht="15" hidden="false" customHeight="false" outlineLevel="0" collapsed="false">
      <c r="A90" s="11"/>
      <c r="B90" s="11"/>
      <c r="C90" s="11"/>
      <c r="D90" s="11"/>
      <c r="E90" s="11"/>
      <c r="F90" s="11"/>
      <c r="G90" s="11"/>
      <c r="H90" s="11"/>
      <c r="I90" s="11"/>
      <c r="J90" s="15"/>
      <c r="K90" s="15"/>
      <c r="L90" s="11"/>
      <c r="M90" s="11"/>
      <c r="N90" s="17" t="str">
        <f aca="false">IF(OR(J90="",K90="",J90=0),"",(J90-K90)/J90)</f>
        <v/>
      </c>
      <c r="O90" s="11"/>
    </row>
    <row r="91" customFormat="false" ht="15" hidden="false" customHeight="false" outlineLevel="0" collapsed="false">
      <c r="A91" s="11"/>
      <c r="B91" s="11"/>
      <c r="C91" s="11"/>
      <c r="D91" s="11"/>
      <c r="E91" s="11"/>
      <c r="F91" s="11"/>
      <c r="G91" s="11"/>
      <c r="H91" s="11"/>
      <c r="I91" s="11"/>
      <c r="J91" s="15"/>
      <c r="K91" s="15"/>
      <c r="L91" s="11"/>
      <c r="M91" s="11"/>
      <c r="N91" s="17" t="str">
        <f aca="false">IF(OR(J91="",K91="",J91=0),"",(J91-K91)/J91)</f>
        <v/>
      </c>
      <c r="O91" s="11"/>
    </row>
    <row r="92" customFormat="false" ht="15" hidden="false" customHeight="false" outlineLevel="0" collapsed="false">
      <c r="A92" s="11"/>
      <c r="B92" s="11"/>
      <c r="C92" s="11"/>
      <c r="D92" s="11"/>
      <c r="E92" s="11"/>
      <c r="F92" s="11"/>
      <c r="G92" s="11"/>
      <c r="H92" s="11"/>
      <c r="I92" s="11"/>
      <c r="J92" s="15"/>
      <c r="K92" s="15"/>
      <c r="L92" s="11"/>
      <c r="M92" s="11"/>
      <c r="N92" s="17" t="str">
        <f aca="false">IF(OR(J92="",K92="",J92=0),"",(J92-K92)/J92)</f>
        <v/>
      </c>
      <c r="O92" s="11"/>
    </row>
    <row r="93" customFormat="false" ht="15" hidden="false" customHeight="false" outlineLevel="0" collapsed="false">
      <c r="A93" s="11"/>
      <c r="B93" s="11"/>
      <c r="C93" s="11"/>
      <c r="D93" s="11"/>
      <c r="E93" s="11"/>
      <c r="F93" s="11"/>
      <c r="G93" s="11"/>
      <c r="H93" s="11"/>
      <c r="I93" s="11"/>
      <c r="J93" s="15"/>
      <c r="K93" s="15"/>
      <c r="L93" s="11"/>
      <c r="M93" s="11"/>
      <c r="N93" s="17" t="str">
        <f aca="false">IF(OR(J93="",K93="",J93=0),"",(J93-K93)/J93)</f>
        <v/>
      </c>
      <c r="O93" s="11"/>
    </row>
    <row r="94" customFormat="false" ht="15" hidden="false" customHeight="false" outlineLevel="0" collapsed="false">
      <c r="A94" s="11"/>
      <c r="B94" s="11"/>
      <c r="C94" s="11"/>
      <c r="D94" s="11"/>
      <c r="E94" s="11"/>
      <c r="F94" s="11"/>
      <c r="G94" s="11"/>
      <c r="H94" s="11"/>
      <c r="I94" s="11"/>
      <c r="J94" s="15"/>
      <c r="K94" s="15"/>
      <c r="L94" s="11"/>
      <c r="M94" s="11"/>
      <c r="N94" s="17" t="str">
        <f aca="false">IF(OR(J94="",K94="",J94=0),"",(J94-K94)/J94)</f>
        <v/>
      </c>
      <c r="O94" s="11"/>
    </row>
    <row r="95" customFormat="false" ht="15" hidden="false" customHeight="false" outlineLevel="0" collapsed="false">
      <c r="A95" s="11"/>
      <c r="B95" s="11"/>
      <c r="C95" s="11"/>
      <c r="D95" s="11"/>
      <c r="E95" s="11"/>
      <c r="F95" s="11"/>
      <c r="G95" s="11"/>
      <c r="H95" s="11"/>
      <c r="I95" s="11"/>
      <c r="J95" s="15"/>
      <c r="K95" s="15"/>
      <c r="L95" s="11"/>
      <c r="M95" s="11"/>
      <c r="N95" s="17" t="str">
        <f aca="false">IF(OR(J95="",K95="",J95=0),"",(J95-K95)/J95)</f>
        <v/>
      </c>
      <c r="O95" s="11"/>
    </row>
    <row r="96" customFormat="false" ht="15" hidden="false" customHeight="false" outlineLevel="0" collapsed="false">
      <c r="A96" s="11"/>
      <c r="B96" s="11"/>
      <c r="C96" s="11"/>
      <c r="D96" s="11"/>
      <c r="E96" s="11"/>
      <c r="F96" s="11"/>
      <c r="G96" s="11"/>
      <c r="H96" s="11"/>
      <c r="I96" s="11"/>
      <c r="J96" s="15"/>
      <c r="K96" s="15"/>
      <c r="L96" s="11"/>
      <c r="M96" s="11"/>
      <c r="N96" s="17" t="str">
        <f aca="false">IF(OR(J96="",K96="",J96=0),"",(J96-K96)/J96)</f>
        <v/>
      </c>
      <c r="O96" s="11"/>
    </row>
    <row r="97" customFormat="false" ht="15" hidden="false" customHeight="false" outlineLevel="0" collapsed="false">
      <c r="A97" s="11"/>
      <c r="B97" s="11"/>
      <c r="C97" s="11"/>
      <c r="D97" s="11"/>
      <c r="E97" s="11"/>
      <c r="F97" s="11"/>
      <c r="G97" s="11"/>
      <c r="H97" s="11"/>
      <c r="I97" s="11"/>
      <c r="J97" s="15"/>
      <c r="K97" s="15"/>
      <c r="L97" s="11"/>
      <c r="M97" s="11"/>
      <c r="N97" s="17" t="str">
        <f aca="false">IF(OR(J97="",K97="",J97=0),"",(J97-K97)/J97)</f>
        <v/>
      </c>
      <c r="O97" s="11"/>
    </row>
    <row r="98" customFormat="false" ht="15" hidden="false" customHeight="false" outlineLevel="0" collapsed="false">
      <c r="A98" s="11"/>
      <c r="B98" s="11"/>
      <c r="C98" s="11"/>
      <c r="D98" s="11"/>
      <c r="E98" s="11"/>
      <c r="F98" s="11"/>
      <c r="G98" s="11"/>
      <c r="H98" s="11"/>
      <c r="I98" s="11"/>
      <c r="J98" s="15"/>
      <c r="K98" s="15"/>
      <c r="L98" s="11"/>
      <c r="M98" s="11"/>
      <c r="N98" s="17" t="str">
        <f aca="false">IF(OR(J98="",K98="",J98=0),"",(J98-K98)/J98)</f>
        <v/>
      </c>
      <c r="O98" s="11"/>
    </row>
    <row r="99" customFormat="false" ht="15" hidden="false" customHeight="false" outlineLevel="0" collapsed="false">
      <c r="A99" s="11"/>
      <c r="B99" s="11"/>
      <c r="C99" s="11"/>
      <c r="D99" s="11"/>
      <c r="E99" s="11"/>
      <c r="F99" s="11"/>
      <c r="G99" s="11"/>
      <c r="H99" s="11"/>
      <c r="I99" s="11"/>
      <c r="J99" s="15"/>
      <c r="K99" s="15"/>
      <c r="L99" s="11"/>
      <c r="M99" s="11"/>
      <c r="N99" s="17" t="str">
        <f aca="false">IF(OR(J99="",K99="",J99=0),"",(J99-K99)/J99)</f>
        <v/>
      </c>
      <c r="O99" s="11"/>
    </row>
    <row r="100" customFormat="false" ht="15" hidden="false" customHeight="false" outlineLevel="0" collapsed="false">
      <c r="A100" s="11"/>
      <c r="B100" s="11"/>
      <c r="C100" s="11"/>
      <c r="D100" s="11"/>
      <c r="E100" s="11"/>
      <c r="F100" s="11"/>
      <c r="G100" s="11"/>
      <c r="H100" s="11"/>
      <c r="I100" s="11"/>
      <c r="J100" s="15"/>
      <c r="K100" s="15"/>
      <c r="L100" s="11"/>
      <c r="M100" s="11"/>
      <c r="N100" s="17" t="str">
        <f aca="false">IF(OR(J100="",K100="",J100=0),"",(J100-K100)/J100)</f>
        <v/>
      </c>
      <c r="O100" s="11"/>
    </row>
    <row r="101" customFormat="false" ht="15" hidden="false" customHeight="false" outlineLevel="0" collapsed="false">
      <c r="A101" s="11"/>
      <c r="B101" s="11"/>
      <c r="C101" s="11"/>
      <c r="D101" s="11"/>
      <c r="E101" s="11"/>
      <c r="F101" s="11"/>
      <c r="G101" s="11"/>
      <c r="H101" s="11"/>
      <c r="I101" s="11"/>
      <c r="J101" s="15"/>
      <c r="K101" s="15"/>
      <c r="L101" s="11"/>
      <c r="M101" s="11"/>
      <c r="N101" s="17" t="str">
        <f aca="false">IF(OR(J101="",K101="",J101=0),"",(J101-K101)/J101)</f>
        <v/>
      </c>
      <c r="O101" s="11"/>
    </row>
    <row r="102" customFormat="false" ht="15" hidden="false" customHeight="false" outlineLevel="0" collapsed="false">
      <c r="A102" s="11"/>
      <c r="B102" s="11"/>
      <c r="C102" s="11"/>
      <c r="D102" s="11"/>
      <c r="E102" s="11"/>
      <c r="F102" s="11"/>
      <c r="G102" s="11"/>
      <c r="H102" s="11"/>
      <c r="I102" s="11"/>
      <c r="J102" s="15"/>
      <c r="K102" s="15"/>
      <c r="L102" s="11"/>
      <c r="M102" s="11"/>
      <c r="N102" s="17" t="str">
        <f aca="false">IF(OR(J102="",K102="",J102=0),"",(J102-K102)/J102)</f>
        <v/>
      </c>
      <c r="O102" s="11"/>
    </row>
    <row r="103" customFormat="false" ht="15" hidden="false" customHeight="false" outlineLevel="0" collapsed="false">
      <c r="A103" s="11"/>
      <c r="B103" s="11"/>
      <c r="C103" s="11"/>
      <c r="D103" s="11"/>
      <c r="E103" s="11"/>
      <c r="F103" s="11"/>
      <c r="G103" s="11"/>
      <c r="H103" s="11"/>
      <c r="I103" s="11"/>
      <c r="J103" s="15"/>
      <c r="K103" s="15"/>
      <c r="L103" s="11"/>
      <c r="M103" s="11"/>
      <c r="N103" s="17" t="str">
        <f aca="false">IF(OR(J103="",K103="",J103=0),"",(J103-K103)/J103)</f>
        <v/>
      </c>
      <c r="O103" s="11"/>
    </row>
    <row r="104" customFormat="false" ht="15" hidden="false" customHeight="false" outlineLevel="0" collapsed="false">
      <c r="A104" s="11"/>
      <c r="B104" s="11"/>
      <c r="C104" s="11"/>
      <c r="D104" s="11"/>
      <c r="E104" s="11"/>
      <c r="F104" s="11"/>
      <c r="G104" s="11"/>
      <c r="H104" s="11"/>
      <c r="I104" s="11"/>
      <c r="J104" s="15"/>
      <c r="K104" s="15"/>
      <c r="L104" s="11"/>
      <c r="M104" s="11"/>
      <c r="N104" s="17" t="str">
        <f aca="false">IF(OR(J104="",K104="",J104=0),"",(J104-K104)/J104)</f>
        <v/>
      </c>
      <c r="O104" s="11"/>
    </row>
    <row r="105" customFormat="false" ht="15" hidden="false" customHeight="false" outlineLevel="0" collapsed="false">
      <c r="A105" s="11"/>
      <c r="B105" s="11"/>
      <c r="C105" s="11"/>
      <c r="D105" s="11"/>
      <c r="E105" s="11"/>
      <c r="F105" s="11"/>
      <c r="G105" s="11"/>
      <c r="H105" s="11"/>
      <c r="I105" s="11"/>
      <c r="J105" s="15"/>
      <c r="K105" s="15"/>
      <c r="L105" s="11"/>
      <c r="M105" s="11"/>
      <c r="N105" s="17" t="str">
        <f aca="false">IF(OR(J105="",K105="",J105=0),"",(J105-K105)/J105)</f>
        <v/>
      </c>
      <c r="O105" s="11"/>
    </row>
    <row r="106" customFormat="false" ht="15" hidden="false" customHeight="false" outlineLevel="0" collapsed="false">
      <c r="A106" s="11"/>
      <c r="B106" s="11"/>
      <c r="C106" s="11"/>
      <c r="D106" s="11"/>
      <c r="E106" s="11"/>
      <c r="F106" s="11"/>
      <c r="G106" s="11"/>
      <c r="H106" s="11"/>
      <c r="I106" s="11"/>
      <c r="J106" s="15"/>
      <c r="K106" s="15"/>
      <c r="L106" s="11"/>
      <c r="M106" s="11"/>
      <c r="N106" s="17" t="str">
        <f aca="false">IF(OR(J106="",K106="",J106=0),"",(J106-K106)/J106)</f>
        <v/>
      </c>
      <c r="O106" s="11"/>
    </row>
    <row r="107" customFormat="false" ht="15" hidden="false" customHeight="false" outlineLevel="0" collapsed="false">
      <c r="A107" s="11"/>
      <c r="B107" s="11"/>
      <c r="C107" s="11"/>
      <c r="D107" s="11"/>
      <c r="E107" s="11"/>
      <c r="F107" s="11"/>
      <c r="G107" s="11"/>
      <c r="H107" s="11"/>
      <c r="I107" s="11"/>
      <c r="J107" s="15"/>
      <c r="K107" s="15"/>
      <c r="L107" s="11"/>
      <c r="M107" s="11"/>
      <c r="N107" s="17" t="str">
        <f aca="false">IF(OR(J107="",K107="",J107=0),"",(J107-K107)/J107)</f>
        <v/>
      </c>
      <c r="O107" s="11"/>
    </row>
    <row r="108" customFormat="false" ht="15" hidden="false" customHeight="false" outlineLevel="0" collapsed="false">
      <c r="A108" s="11"/>
      <c r="B108" s="11"/>
      <c r="C108" s="11"/>
      <c r="D108" s="11"/>
      <c r="E108" s="11"/>
      <c r="F108" s="11"/>
      <c r="G108" s="11"/>
      <c r="H108" s="11"/>
      <c r="I108" s="11"/>
      <c r="J108" s="15"/>
      <c r="K108" s="15"/>
      <c r="L108" s="11"/>
      <c r="M108" s="11"/>
      <c r="N108" s="17" t="str">
        <f aca="false">IF(OR(J108="",K108="",J108=0),"",(J108-K108)/J108)</f>
        <v/>
      </c>
      <c r="O108" s="11"/>
    </row>
    <row r="109" customFormat="false" ht="15" hidden="false" customHeight="false" outlineLevel="0" collapsed="false">
      <c r="A109" s="11"/>
      <c r="B109" s="11"/>
      <c r="C109" s="11"/>
      <c r="D109" s="11"/>
      <c r="E109" s="11"/>
      <c r="F109" s="11"/>
      <c r="G109" s="11"/>
      <c r="H109" s="11"/>
      <c r="I109" s="11"/>
      <c r="J109" s="15"/>
      <c r="K109" s="15"/>
      <c r="L109" s="11"/>
      <c r="M109" s="11"/>
      <c r="N109" s="17" t="str">
        <f aca="false">IF(OR(J109="",K109="",J109=0),"",(J109-K109)/J109)</f>
        <v/>
      </c>
      <c r="O109" s="11"/>
    </row>
    <row r="110" customFormat="false" ht="15" hidden="false" customHeight="false" outlineLevel="0" collapsed="false">
      <c r="A110" s="11"/>
      <c r="B110" s="11"/>
      <c r="C110" s="11"/>
      <c r="D110" s="11"/>
      <c r="E110" s="11"/>
      <c r="F110" s="11"/>
      <c r="G110" s="11"/>
      <c r="H110" s="11"/>
      <c r="I110" s="11"/>
      <c r="J110" s="15"/>
      <c r="K110" s="15"/>
      <c r="L110" s="11"/>
      <c r="M110" s="11"/>
      <c r="N110" s="17" t="str">
        <f aca="false">IF(OR(J110="",K110="",J110=0),"",(J110-K110)/J110)</f>
        <v/>
      </c>
      <c r="O110" s="11"/>
    </row>
    <row r="111" customFormat="false" ht="15" hidden="false" customHeight="false" outlineLevel="0" collapsed="false">
      <c r="A111" s="11"/>
      <c r="B111" s="11"/>
      <c r="C111" s="11"/>
      <c r="D111" s="11"/>
      <c r="E111" s="11"/>
      <c r="F111" s="11"/>
      <c r="G111" s="11"/>
      <c r="H111" s="11"/>
      <c r="I111" s="11"/>
      <c r="J111" s="15"/>
      <c r="K111" s="15"/>
      <c r="L111" s="11"/>
      <c r="M111" s="11"/>
      <c r="N111" s="17" t="str">
        <f aca="false">IF(OR(J111="",K111="",J111=0),"",(J111-K111)/J111)</f>
        <v/>
      </c>
      <c r="O111" s="11"/>
    </row>
    <row r="112" customFormat="false" ht="15" hidden="false" customHeight="false" outlineLevel="0" collapsed="false">
      <c r="A112" s="11"/>
      <c r="B112" s="11"/>
      <c r="C112" s="11"/>
      <c r="D112" s="11"/>
      <c r="E112" s="11"/>
      <c r="F112" s="11"/>
      <c r="G112" s="11"/>
      <c r="H112" s="11"/>
      <c r="I112" s="11"/>
      <c r="J112" s="15"/>
      <c r="K112" s="15"/>
      <c r="L112" s="11"/>
      <c r="M112" s="11"/>
      <c r="N112" s="17" t="str">
        <f aca="false">IF(OR(J112="",K112="",J112=0),"",(J112-K112)/J112)</f>
        <v/>
      </c>
      <c r="O112" s="11"/>
    </row>
    <row r="113" customFormat="false" ht="15" hidden="false" customHeight="false" outlineLevel="0" collapsed="false">
      <c r="A113" s="11"/>
      <c r="B113" s="11"/>
      <c r="C113" s="11"/>
      <c r="D113" s="11"/>
      <c r="E113" s="11"/>
      <c r="F113" s="11"/>
      <c r="G113" s="11"/>
      <c r="H113" s="11"/>
      <c r="I113" s="11"/>
      <c r="J113" s="15"/>
      <c r="K113" s="15"/>
      <c r="L113" s="11"/>
      <c r="M113" s="11"/>
      <c r="N113" s="17" t="str">
        <f aca="false">IF(OR(J113="",K113="",J113=0),"",(J113-K113)/J113)</f>
        <v/>
      </c>
      <c r="O113" s="11"/>
    </row>
    <row r="114" customFormat="false" ht="15" hidden="false" customHeight="false" outlineLevel="0" collapsed="false">
      <c r="A114" s="11"/>
      <c r="B114" s="11"/>
      <c r="C114" s="11"/>
      <c r="D114" s="11"/>
      <c r="E114" s="11"/>
      <c r="F114" s="11"/>
      <c r="G114" s="11"/>
      <c r="H114" s="11"/>
      <c r="I114" s="11"/>
      <c r="J114" s="15"/>
      <c r="K114" s="15"/>
      <c r="L114" s="11"/>
      <c r="M114" s="11"/>
      <c r="N114" s="17" t="str">
        <f aca="false">IF(OR(J114="",K114="",J114=0),"",(J114-K114)/J114)</f>
        <v/>
      </c>
      <c r="O114" s="11"/>
    </row>
    <row r="115" customFormat="false" ht="15" hidden="false" customHeight="false" outlineLevel="0" collapsed="false">
      <c r="A115" s="11"/>
      <c r="B115" s="11"/>
      <c r="C115" s="11"/>
      <c r="D115" s="11"/>
      <c r="E115" s="11"/>
      <c r="F115" s="11"/>
      <c r="G115" s="11"/>
      <c r="H115" s="11"/>
      <c r="I115" s="11"/>
      <c r="J115" s="15"/>
      <c r="K115" s="15"/>
      <c r="L115" s="11"/>
      <c r="M115" s="11"/>
      <c r="N115" s="17" t="str">
        <f aca="false">IF(OR(J115="",K115="",J115=0),"",(J115-K115)/J115)</f>
        <v/>
      </c>
      <c r="O115" s="11"/>
    </row>
    <row r="116" customFormat="false" ht="15" hidden="false" customHeight="false" outlineLevel="0" collapsed="false">
      <c r="A116" s="11"/>
      <c r="B116" s="11"/>
      <c r="C116" s="11"/>
      <c r="D116" s="11"/>
      <c r="E116" s="11"/>
      <c r="F116" s="11"/>
      <c r="G116" s="11"/>
      <c r="H116" s="11"/>
      <c r="I116" s="11"/>
      <c r="J116" s="15"/>
      <c r="K116" s="15"/>
      <c r="L116" s="11"/>
      <c r="M116" s="11"/>
      <c r="N116" s="17" t="str">
        <f aca="false">IF(OR(J116="",K116="",J116=0),"",(J116-K116)/J116)</f>
        <v/>
      </c>
      <c r="O116" s="11"/>
    </row>
    <row r="117" customFormat="false" ht="15" hidden="false" customHeight="false" outlineLevel="0" collapsed="false">
      <c r="A117" s="11"/>
      <c r="B117" s="11"/>
      <c r="C117" s="11"/>
      <c r="D117" s="11"/>
      <c r="E117" s="11"/>
      <c r="F117" s="11"/>
      <c r="G117" s="11"/>
      <c r="H117" s="11"/>
      <c r="I117" s="11"/>
      <c r="J117" s="15"/>
      <c r="K117" s="15"/>
      <c r="L117" s="11"/>
      <c r="M117" s="11"/>
      <c r="N117" s="17" t="str">
        <f aca="false">IF(OR(J117="",K117="",J117=0),"",(J117-K117)/J117)</f>
        <v/>
      </c>
      <c r="O117" s="11"/>
    </row>
    <row r="118" customFormat="false" ht="15" hidden="false" customHeight="false" outlineLevel="0" collapsed="false">
      <c r="A118" s="11"/>
      <c r="B118" s="11"/>
      <c r="C118" s="11"/>
      <c r="D118" s="11"/>
      <c r="E118" s="11"/>
      <c r="F118" s="11"/>
      <c r="G118" s="11"/>
      <c r="H118" s="11"/>
      <c r="I118" s="11"/>
      <c r="J118" s="15"/>
      <c r="K118" s="15"/>
      <c r="L118" s="11"/>
      <c r="M118" s="11"/>
      <c r="N118" s="17" t="str">
        <f aca="false">IF(OR(J118="",K118="",J118=0),"",(J118-K118)/J118)</f>
        <v/>
      </c>
      <c r="O118" s="11"/>
    </row>
    <row r="119" customFormat="false" ht="15" hidden="false" customHeight="false" outlineLevel="0" collapsed="false">
      <c r="A119" s="11"/>
      <c r="B119" s="11"/>
      <c r="C119" s="11"/>
      <c r="D119" s="11"/>
      <c r="E119" s="11"/>
      <c r="F119" s="11"/>
      <c r="G119" s="11"/>
      <c r="H119" s="11"/>
      <c r="I119" s="11"/>
      <c r="J119" s="15"/>
      <c r="K119" s="15"/>
      <c r="L119" s="11"/>
      <c r="M119" s="11"/>
      <c r="N119" s="17" t="str">
        <f aca="false">IF(OR(J119="",K119="",J119=0),"",(J119-K119)/J119)</f>
        <v/>
      </c>
      <c r="O119" s="11"/>
    </row>
    <row r="120" customFormat="false" ht="15" hidden="false" customHeight="false" outlineLevel="0" collapsed="false">
      <c r="A120" s="11"/>
      <c r="B120" s="11"/>
      <c r="C120" s="11"/>
      <c r="D120" s="11"/>
      <c r="E120" s="11"/>
      <c r="F120" s="11"/>
      <c r="G120" s="11"/>
      <c r="H120" s="11"/>
      <c r="I120" s="11"/>
      <c r="J120" s="15"/>
      <c r="K120" s="15"/>
      <c r="L120" s="11"/>
      <c r="M120" s="11"/>
      <c r="N120" s="17" t="str">
        <f aca="false">IF(OR(J120="",K120="",J120=0),"",(J120-K120)/J120)</f>
        <v/>
      </c>
      <c r="O120" s="11"/>
    </row>
    <row r="121" customFormat="false" ht="15" hidden="false" customHeight="false" outlineLevel="0" collapsed="false">
      <c r="A121" s="11"/>
      <c r="B121" s="11"/>
      <c r="C121" s="11"/>
      <c r="D121" s="11"/>
      <c r="E121" s="11"/>
      <c r="F121" s="11"/>
      <c r="G121" s="11"/>
      <c r="H121" s="11"/>
      <c r="I121" s="11"/>
      <c r="J121" s="15"/>
      <c r="K121" s="15"/>
      <c r="L121" s="11"/>
      <c r="M121" s="11"/>
      <c r="N121" s="17" t="str">
        <f aca="false">IF(OR(J121="",K121="",J121=0),"",(J121-K121)/J121)</f>
        <v/>
      </c>
      <c r="O121" s="11"/>
    </row>
    <row r="122" customFormat="false" ht="15" hidden="false" customHeight="false" outlineLevel="0" collapsed="false">
      <c r="A122" s="11"/>
      <c r="B122" s="11"/>
      <c r="C122" s="11"/>
      <c r="D122" s="11"/>
      <c r="E122" s="11"/>
      <c r="F122" s="11"/>
      <c r="G122" s="11"/>
      <c r="H122" s="11"/>
      <c r="I122" s="11"/>
      <c r="J122" s="15"/>
      <c r="K122" s="15"/>
      <c r="L122" s="11"/>
      <c r="M122" s="11"/>
      <c r="N122" s="17" t="str">
        <f aca="false">IF(OR(J122="",K122="",J122=0),"",(J122-K122)/J122)</f>
        <v/>
      </c>
      <c r="O122" s="11"/>
    </row>
    <row r="123" customFormat="false" ht="15" hidden="false" customHeight="false" outlineLevel="0" collapsed="false">
      <c r="A123" s="11"/>
      <c r="B123" s="11"/>
      <c r="C123" s="11"/>
      <c r="D123" s="11"/>
      <c r="E123" s="11"/>
      <c r="F123" s="11"/>
      <c r="G123" s="11"/>
      <c r="H123" s="11"/>
      <c r="I123" s="11"/>
      <c r="J123" s="15"/>
      <c r="K123" s="15"/>
      <c r="L123" s="11"/>
      <c r="M123" s="11"/>
      <c r="N123" s="17" t="str">
        <f aca="false">IF(OR(J123="",K123="",J123=0),"",(J123-K123)/J123)</f>
        <v/>
      </c>
      <c r="O123" s="11"/>
    </row>
    <row r="124" customFormat="false" ht="15" hidden="false" customHeight="false" outlineLevel="0" collapsed="false">
      <c r="A124" s="11"/>
      <c r="B124" s="11"/>
      <c r="C124" s="11"/>
      <c r="D124" s="11"/>
      <c r="E124" s="11"/>
      <c r="F124" s="11"/>
      <c r="G124" s="11"/>
      <c r="H124" s="11"/>
      <c r="I124" s="11"/>
      <c r="J124" s="15"/>
      <c r="K124" s="15"/>
      <c r="L124" s="11"/>
      <c r="M124" s="11"/>
      <c r="N124" s="17" t="str">
        <f aca="false">IF(OR(J124="",K124="",J124=0),"",(J124-K124)/J124)</f>
        <v/>
      </c>
      <c r="O124" s="11"/>
    </row>
    <row r="125" customFormat="false" ht="15" hidden="false" customHeight="false" outlineLevel="0" collapsed="false">
      <c r="A125" s="11"/>
      <c r="B125" s="11"/>
      <c r="C125" s="11"/>
      <c r="D125" s="11"/>
      <c r="E125" s="11"/>
      <c r="F125" s="11"/>
      <c r="G125" s="11"/>
      <c r="H125" s="11"/>
      <c r="I125" s="11"/>
      <c r="J125" s="15"/>
      <c r="K125" s="15"/>
      <c r="L125" s="11"/>
      <c r="M125" s="11"/>
      <c r="N125" s="17" t="str">
        <f aca="false">IF(OR(J125="",K125="",J125=0),"",(J125-K125)/J125)</f>
        <v/>
      </c>
      <c r="O125" s="11"/>
    </row>
    <row r="126" customFormat="false" ht="15" hidden="false" customHeight="false" outlineLevel="0" collapsed="false">
      <c r="A126" s="11"/>
      <c r="B126" s="11"/>
      <c r="C126" s="11"/>
      <c r="D126" s="11"/>
      <c r="E126" s="11"/>
      <c r="F126" s="11"/>
      <c r="G126" s="11"/>
      <c r="H126" s="11"/>
      <c r="I126" s="11"/>
      <c r="J126" s="15"/>
      <c r="K126" s="15"/>
      <c r="L126" s="11"/>
      <c r="M126" s="11"/>
      <c r="N126" s="17" t="str">
        <f aca="false">IF(OR(J126="",K126="",J126=0),"",(J126-K126)/J126)</f>
        <v/>
      </c>
      <c r="O126" s="11"/>
    </row>
    <row r="127" customFormat="false" ht="15" hidden="false" customHeight="false" outlineLevel="0" collapsed="false">
      <c r="A127" s="11"/>
      <c r="B127" s="11"/>
      <c r="C127" s="11"/>
      <c r="D127" s="11"/>
      <c r="E127" s="11"/>
      <c r="F127" s="11"/>
      <c r="G127" s="11"/>
      <c r="H127" s="11"/>
      <c r="I127" s="11"/>
      <c r="J127" s="15"/>
      <c r="K127" s="15"/>
      <c r="L127" s="11"/>
      <c r="M127" s="11"/>
      <c r="N127" s="17" t="str">
        <f aca="false">IF(OR(J127="",K127="",J127=0),"",(J127-K127)/J127)</f>
        <v/>
      </c>
      <c r="O127" s="11"/>
    </row>
    <row r="128" customFormat="false" ht="15" hidden="false" customHeight="false" outlineLevel="0" collapsed="false">
      <c r="A128" s="11"/>
      <c r="B128" s="11"/>
      <c r="C128" s="11"/>
      <c r="D128" s="11"/>
      <c r="E128" s="11"/>
      <c r="F128" s="11"/>
      <c r="G128" s="11"/>
      <c r="H128" s="11"/>
      <c r="I128" s="11"/>
      <c r="J128" s="15"/>
      <c r="K128" s="15"/>
      <c r="L128" s="11"/>
      <c r="M128" s="11"/>
      <c r="N128" s="17" t="str">
        <f aca="false">IF(OR(J128="",K128="",J128=0),"",(J128-K128)/J128)</f>
        <v/>
      </c>
      <c r="O128" s="11"/>
    </row>
    <row r="129" customFormat="false" ht="15" hidden="false" customHeight="false" outlineLevel="0" collapsed="false">
      <c r="A129" s="11"/>
      <c r="B129" s="11"/>
      <c r="C129" s="11"/>
      <c r="D129" s="11"/>
      <c r="E129" s="11"/>
      <c r="F129" s="11"/>
      <c r="G129" s="11"/>
      <c r="H129" s="11"/>
      <c r="I129" s="11"/>
      <c r="J129" s="15"/>
      <c r="K129" s="15"/>
      <c r="L129" s="11"/>
      <c r="M129" s="11"/>
      <c r="N129" s="17" t="str">
        <f aca="false">IF(OR(J129="",K129="",J129=0),"",(J129-K129)/J129)</f>
        <v/>
      </c>
      <c r="O129" s="11"/>
    </row>
    <row r="130" customFormat="false" ht="15" hidden="false" customHeight="false" outlineLevel="0" collapsed="false">
      <c r="A130" s="11"/>
      <c r="B130" s="11"/>
      <c r="C130" s="11"/>
      <c r="D130" s="11"/>
      <c r="E130" s="11"/>
      <c r="F130" s="11"/>
      <c r="G130" s="11"/>
      <c r="H130" s="11"/>
      <c r="I130" s="11"/>
      <c r="J130" s="15"/>
      <c r="K130" s="15"/>
      <c r="L130" s="11"/>
      <c r="M130" s="11"/>
      <c r="N130" s="17" t="str">
        <f aca="false">IF(OR(J130="",K130="",J130=0),"",(J130-K130)/J130)</f>
        <v/>
      </c>
      <c r="O130" s="11"/>
    </row>
    <row r="131" customFormat="false" ht="15" hidden="false" customHeight="false" outlineLevel="0" collapsed="false">
      <c r="A131" s="11"/>
      <c r="B131" s="11"/>
      <c r="C131" s="11"/>
      <c r="D131" s="11"/>
      <c r="E131" s="11"/>
      <c r="F131" s="11"/>
      <c r="G131" s="11"/>
      <c r="H131" s="11"/>
      <c r="I131" s="11"/>
      <c r="J131" s="15"/>
      <c r="K131" s="15"/>
      <c r="L131" s="11"/>
      <c r="M131" s="11"/>
      <c r="N131" s="17" t="str">
        <f aca="false">IF(OR(J131="",K131="",J131=0),"",(J131-K131)/J131)</f>
        <v/>
      </c>
      <c r="O131" s="11"/>
    </row>
    <row r="132" customFormat="false" ht="15" hidden="false" customHeight="false" outlineLevel="0" collapsed="false">
      <c r="A132" s="11"/>
      <c r="B132" s="11"/>
      <c r="C132" s="11"/>
      <c r="D132" s="11"/>
      <c r="E132" s="11"/>
      <c r="F132" s="11"/>
      <c r="G132" s="11"/>
      <c r="H132" s="11"/>
      <c r="I132" s="11"/>
      <c r="J132" s="15"/>
      <c r="K132" s="15"/>
      <c r="L132" s="11"/>
      <c r="M132" s="11"/>
      <c r="N132" s="17" t="str">
        <f aca="false">IF(OR(J132="",K132="",J132=0),"",(J132-K132)/J132)</f>
        <v/>
      </c>
      <c r="O132" s="11"/>
    </row>
    <row r="133" customFormat="false" ht="15" hidden="false" customHeight="false" outlineLevel="0" collapsed="false">
      <c r="A133" s="11"/>
      <c r="B133" s="11"/>
      <c r="C133" s="11"/>
      <c r="D133" s="11"/>
      <c r="E133" s="11"/>
      <c r="F133" s="11"/>
      <c r="G133" s="11"/>
      <c r="H133" s="11"/>
      <c r="I133" s="11"/>
      <c r="J133" s="15"/>
      <c r="K133" s="15"/>
      <c r="L133" s="11"/>
      <c r="M133" s="11"/>
      <c r="N133" s="17" t="str">
        <f aca="false">IF(OR(J133="",K133="",J133=0),"",(J133-K133)/J133)</f>
        <v/>
      </c>
      <c r="O133" s="11"/>
    </row>
    <row r="134" customFormat="false" ht="15" hidden="false" customHeight="false" outlineLevel="0" collapsed="false">
      <c r="A134" s="11"/>
      <c r="B134" s="11"/>
      <c r="C134" s="11"/>
      <c r="D134" s="11"/>
      <c r="E134" s="11"/>
      <c r="F134" s="11"/>
      <c r="G134" s="11"/>
      <c r="H134" s="11"/>
      <c r="I134" s="11"/>
      <c r="J134" s="15"/>
      <c r="K134" s="15"/>
      <c r="L134" s="11"/>
      <c r="M134" s="11"/>
      <c r="N134" s="17" t="str">
        <f aca="false">IF(OR(J134="",K134="",J134=0),"",(J134-K134)/J134)</f>
        <v/>
      </c>
      <c r="O134" s="11"/>
    </row>
    <row r="135" customFormat="false" ht="15" hidden="false" customHeight="false" outlineLevel="0" collapsed="false">
      <c r="A135" s="11"/>
      <c r="B135" s="11"/>
      <c r="C135" s="11"/>
      <c r="D135" s="11"/>
      <c r="E135" s="11"/>
      <c r="F135" s="11"/>
      <c r="G135" s="11"/>
      <c r="H135" s="11"/>
      <c r="I135" s="11"/>
      <c r="J135" s="15"/>
      <c r="K135" s="15"/>
      <c r="L135" s="11"/>
      <c r="M135" s="11"/>
      <c r="N135" s="17" t="str">
        <f aca="false">IF(OR(J135="",K135="",J135=0),"",(J135-K135)/J135)</f>
        <v/>
      </c>
      <c r="O135" s="11"/>
    </row>
    <row r="136" customFormat="false" ht="15" hidden="false" customHeight="false" outlineLevel="0" collapsed="false">
      <c r="A136" s="11"/>
      <c r="B136" s="11"/>
      <c r="C136" s="11"/>
      <c r="D136" s="11"/>
      <c r="E136" s="11"/>
      <c r="F136" s="11"/>
      <c r="G136" s="11"/>
      <c r="H136" s="11"/>
      <c r="I136" s="11"/>
      <c r="J136" s="15"/>
      <c r="K136" s="15"/>
      <c r="L136" s="11"/>
      <c r="M136" s="11"/>
      <c r="N136" s="17" t="str">
        <f aca="false">IF(OR(J136="",K136="",J136=0),"",(J136-K136)/J136)</f>
        <v/>
      </c>
      <c r="O136" s="11"/>
    </row>
    <row r="137" customFormat="false" ht="15" hidden="false" customHeight="false" outlineLevel="0" collapsed="false">
      <c r="A137" s="11"/>
      <c r="B137" s="11"/>
      <c r="C137" s="11"/>
      <c r="D137" s="11"/>
      <c r="E137" s="11"/>
      <c r="F137" s="11"/>
      <c r="G137" s="11"/>
      <c r="H137" s="11"/>
      <c r="I137" s="11"/>
      <c r="J137" s="15"/>
      <c r="K137" s="15"/>
      <c r="L137" s="11"/>
      <c r="M137" s="11"/>
      <c r="N137" s="17" t="str">
        <f aca="false">IF(OR(J137="",K137="",J137=0),"",(J137-K137)/J137)</f>
        <v/>
      </c>
      <c r="O137" s="11"/>
    </row>
    <row r="138" customFormat="false" ht="15" hidden="false" customHeight="false" outlineLevel="0" collapsed="false">
      <c r="A138" s="11"/>
      <c r="B138" s="11"/>
      <c r="C138" s="11"/>
      <c r="D138" s="11"/>
      <c r="E138" s="11"/>
      <c r="F138" s="11"/>
      <c r="G138" s="11"/>
      <c r="H138" s="11"/>
      <c r="I138" s="11"/>
      <c r="J138" s="15"/>
      <c r="K138" s="15"/>
      <c r="L138" s="11"/>
      <c r="M138" s="11"/>
      <c r="N138" s="17" t="str">
        <f aca="false">IF(OR(J138="",K138="",J138=0),"",(J138-K138)/J138)</f>
        <v/>
      </c>
      <c r="O138" s="11"/>
    </row>
    <row r="139" customFormat="false" ht="15" hidden="false" customHeight="false" outlineLevel="0" collapsed="false">
      <c r="A139" s="11"/>
      <c r="B139" s="11"/>
      <c r="C139" s="11"/>
      <c r="D139" s="11"/>
      <c r="E139" s="11"/>
      <c r="F139" s="11"/>
      <c r="G139" s="11"/>
      <c r="H139" s="11"/>
      <c r="I139" s="11"/>
      <c r="J139" s="15"/>
      <c r="K139" s="15"/>
      <c r="L139" s="11"/>
      <c r="M139" s="11"/>
      <c r="N139" s="17" t="str">
        <f aca="false">IF(OR(J139="",K139="",J139=0),"",(J139-K139)/J139)</f>
        <v/>
      </c>
      <c r="O139" s="11"/>
    </row>
    <row r="140" customFormat="false" ht="15" hidden="false" customHeight="false" outlineLevel="0" collapsed="false">
      <c r="A140" s="11"/>
      <c r="B140" s="11"/>
      <c r="C140" s="11"/>
      <c r="D140" s="11"/>
      <c r="E140" s="11"/>
      <c r="F140" s="11"/>
      <c r="G140" s="11"/>
      <c r="H140" s="11"/>
      <c r="I140" s="11"/>
      <c r="J140" s="15"/>
      <c r="K140" s="15"/>
      <c r="L140" s="11"/>
      <c r="M140" s="11"/>
      <c r="N140" s="17" t="str">
        <f aca="false">IF(OR(J140="",K140="",J140=0),"",(J140-K140)/J140)</f>
        <v/>
      </c>
      <c r="O140" s="11"/>
    </row>
    <row r="141" customFormat="false" ht="15" hidden="false" customHeight="false" outlineLevel="0" collapsed="false">
      <c r="A141" s="11"/>
      <c r="B141" s="11"/>
      <c r="C141" s="11"/>
      <c r="D141" s="11"/>
      <c r="E141" s="11"/>
      <c r="F141" s="11"/>
      <c r="G141" s="11"/>
      <c r="H141" s="11"/>
      <c r="I141" s="11"/>
      <c r="J141" s="15"/>
      <c r="K141" s="15"/>
      <c r="L141" s="11"/>
      <c r="M141" s="11"/>
      <c r="N141" s="17" t="str">
        <f aca="false">IF(OR(J141="",K141="",J141=0),"",(J141-K141)/J141)</f>
        <v/>
      </c>
      <c r="O141" s="11"/>
    </row>
    <row r="142" customFormat="false" ht="15" hidden="false" customHeight="false" outlineLevel="0" collapsed="false">
      <c r="A142" s="11"/>
      <c r="B142" s="11"/>
      <c r="C142" s="11"/>
      <c r="D142" s="11"/>
      <c r="E142" s="11"/>
      <c r="F142" s="11"/>
      <c r="G142" s="11"/>
      <c r="H142" s="11"/>
      <c r="I142" s="11"/>
      <c r="J142" s="15"/>
      <c r="K142" s="15"/>
      <c r="L142" s="11"/>
      <c r="M142" s="11"/>
      <c r="N142" s="17" t="str">
        <f aca="false">IF(OR(J142="",K142="",J142=0),"",(J142-K142)/J142)</f>
        <v/>
      </c>
      <c r="O142" s="11"/>
    </row>
    <row r="143" customFormat="false" ht="15" hidden="false" customHeight="false" outlineLevel="0" collapsed="false">
      <c r="A143" s="11"/>
      <c r="B143" s="11"/>
      <c r="C143" s="11"/>
      <c r="D143" s="11"/>
      <c r="E143" s="11"/>
      <c r="F143" s="11"/>
      <c r="G143" s="11"/>
      <c r="H143" s="11"/>
      <c r="I143" s="11"/>
      <c r="J143" s="15"/>
      <c r="K143" s="15"/>
      <c r="L143" s="11"/>
      <c r="M143" s="11"/>
      <c r="N143" s="17" t="str">
        <f aca="false">IF(OR(J143="",K143="",J143=0),"",(J143-K143)/J143)</f>
        <v/>
      </c>
      <c r="O143" s="11"/>
    </row>
    <row r="144" customFormat="false" ht="15" hidden="false" customHeight="false" outlineLevel="0" collapsed="false">
      <c r="A144" s="11"/>
      <c r="B144" s="11"/>
      <c r="C144" s="11"/>
      <c r="D144" s="11"/>
      <c r="E144" s="11"/>
      <c r="F144" s="11"/>
      <c r="G144" s="11"/>
      <c r="H144" s="11"/>
      <c r="I144" s="11"/>
      <c r="J144" s="15"/>
      <c r="K144" s="15"/>
      <c r="L144" s="11"/>
      <c r="M144" s="11"/>
      <c r="N144" s="17" t="str">
        <f aca="false">IF(OR(J144="",K144="",J144=0),"",(J144-K144)/J144)</f>
        <v/>
      </c>
      <c r="O144" s="11"/>
    </row>
    <row r="145" customFormat="false" ht="15" hidden="false" customHeight="false" outlineLevel="0" collapsed="false">
      <c r="A145" s="11"/>
      <c r="B145" s="11"/>
      <c r="C145" s="11"/>
      <c r="D145" s="11"/>
      <c r="E145" s="11"/>
      <c r="F145" s="11"/>
      <c r="G145" s="11"/>
      <c r="H145" s="11"/>
      <c r="I145" s="11"/>
      <c r="J145" s="15"/>
      <c r="K145" s="15"/>
      <c r="L145" s="11"/>
      <c r="M145" s="11"/>
      <c r="N145" s="17" t="str">
        <f aca="false">IF(OR(J145="",K145="",J145=0),"",(J145-K145)/J145)</f>
        <v/>
      </c>
      <c r="O145" s="11"/>
    </row>
    <row r="146" customFormat="false" ht="15" hidden="false" customHeight="false" outlineLevel="0" collapsed="false">
      <c r="A146" s="11"/>
      <c r="B146" s="11"/>
      <c r="C146" s="11"/>
      <c r="D146" s="11"/>
      <c r="E146" s="11"/>
      <c r="F146" s="11"/>
      <c r="G146" s="11"/>
      <c r="H146" s="11"/>
      <c r="I146" s="11"/>
      <c r="J146" s="15"/>
      <c r="K146" s="15"/>
      <c r="L146" s="11"/>
      <c r="M146" s="11"/>
      <c r="N146" s="17" t="str">
        <f aca="false">IF(OR(J146="",K146="",J146=0),"",(J146-K146)/J146)</f>
        <v/>
      </c>
      <c r="O146" s="11"/>
    </row>
    <row r="147" customFormat="false" ht="15" hidden="false" customHeight="false" outlineLevel="0" collapsed="false">
      <c r="A147" s="11"/>
      <c r="B147" s="11"/>
      <c r="C147" s="11"/>
      <c r="D147" s="11"/>
      <c r="E147" s="11"/>
      <c r="F147" s="11"/>
      <c r="G147" s="11"/>
      <c r="H147" s="11"/>
      <c r="I147" s="11"/>
      <c r="J147" s="15"/>
      <c r="K147" s="15"/>
      <c r="L147" s="11"/>
      <c r="M147" s="11"/>
      <c r="N147" s="17" t="str">
        <f aca="false">IF(OR(J147="",K147="",J147=0),"",(J147-K147)/J147)</f>
        <v/>
      </c>
      <c r="O147" s="11"/>
    </row>
    <row r="148" customFormat="false" ht="15" hidden="false" customHeight="false" outlineLevel="0" collapsed="false">
      <c r="A148" s="11"/>
      <c r="B148" s="11"/>
      <c r="C148" s="11"/>
      <c r="D148" s="11"/>
      <c r="E148" s="11"/>
      <c r="F148" s="11"/>
      <c r="G148" s="11"/>
      <c r="H148" s="11"/>
      <c r="I148" s="11"/>
      <c r="J148" s="15"/>
      <c r="K148" s="15"/>
      <c r="L148" s="11"/>
      <c r="M148" s="11"/>
      <c r="N148" s="17" t="str">
        <f aca="false">IF(OR(J148="",K148="",J148=0),"",(J148-K148)/J148)</f>
        <v/>
      </c>
      <c r="O148" s="11"/>
    </row>
    <row r="149" customFormat="false" ht="15" hidden="false" customHeight="false" outlineLevel="0" collapsed="false">
      <c r="A149" s="11"/>
      <c r="B149" s="11"/>
      <c r="C149" s="11"/>
      <c r="D149" s="11"/>
      <c r="E149" s="11"/>
      <c r="F149" s="11"/>
      <c r="G149" s="11"/>
      <c r="H149" s="11"/>
      <c r="I149" s="11"/>
      <c r="J149" s="15"/>
      <c r="K149" s="15"/>
      <c r="L149" s="11"/>
      <c r="M149" s="11"/>
      <c r="N149" s="17" t="str">
        <f aca="false">IF(OR(J149="",K149="",J149=0),"",(J149-K149)/J149)</f>
        <v/>
      </c>
      <c r="O149" s="11"/>
    </row>
    <row r="150" customFormat="false" ht="15" hidden="false" customHeight="false" outlineLevel="0" collapsed="false">
      <c r="A150" s="11"/>
      <c r="B150" s="11"/>
      <c r="C150" s="11"/>
      <c r="D150" s="11"/>
      <c r="E150" s="11"/>
      <c r="F150" s="11"/>
      <c r="G150" s="11"/>
      <c r="H150" s="11"/>
      <c r="I150" s="11"/>
      <c r="J150" s="15"/>
      <c r="K150" s="15"/>
      <c r="L150" s="11"/>
      <c r="M150" s="11"/>
      <c r="N150" s="17" t="str">
        <f aca="false">IF(OR(J150="",K150="",J150=0),"",(J150-K150)/J150)</f>
        <v/>
      </c>
      <c r="O150" s="11"/>
    </row>
    <row r="151" customFormat="false" ht="15" hidden="false" customHeight="false" outlineLevel="0" collapsed="false">
      <c r="A151" s="11"/>
      <c r="B151" s="11"/>
      <c r="C151" s="11"/>
      <c r="D151" s="11"/>
      <c r="E151" s="11"/>
      <c r="F151" s="11"/>
      <c r="G151" s="11"/>
      <c r="H151" s="11"/>
      <c r="I151" s="11"/>
      <c r="J151" s="15"/>
      <c r="K151" s="15"/>
      <c r="L151" s="11"/>
      <c r="M151" s="11"/>
      <c r="N151" s="17" t="str">
        <f aca="false">IF(OR(J151="",K151="",J151=0),"",(J151-K151)/J151)</f>
        <v/>
      </c>
      <c r="O151" s="11"/>
    </row>
    <row r="152" customFormat="false" ht="15" hidden="false" customHeight="false" outlineLevel="0" collapsed="false">
      <c r="A152" s="11"/>
      <c r="B152" s="11"/>
      <c r="C152" s="11"/>
      <c r="D152" s="11"/>
      <c r="E152" s="11"/>
      <c r="F152" s="11"/>
      <c r="G152" s="11"/>
      <c r="H152" s="11"/>
      <c r="I152" s="11"/>
      <c r="J152" s="15"/>
      <c r="K152" s="15"/>
      <c r="L152" s="11"/>
      <c r="M152" s="11"/>
      <c r="N152" s="17" t="str">
        <f aca="false">IF(OR(J152="",K152="",J152=0),"",(J152-K152)/J152)</f>
        <v/>
      </c>
      <c r="O152" s="11"/>
    </row>
    <row r="153" customFormat="false" ht="15" hidden="false" customHeight="false" outlineLevel="0" collapsed="false">
      <c r="A153" s="11"/>
      <c r="B153" s="11"/>
      <c r="C153" s="11"/>
      <c r="D153" s="11"/>
      <c r="E153" s="11"/>
      <c r="F153" s="11"/>
      <c r="G153" s="11"/>
      <c r="H153" s="11"/>
      <c r="I153" s="11"/>
      <c r="J153" s="15"/>
      <c r="K153" s="15"/>
      <c r="L153" s="11"/>
      <c r="M153" s="11"/>
      <c r="N153" s="17" t="str">
        <f aca="false">IF(OR(J153="",K153="",J153=0),"",(J153-K153)/J153)</f>
        <v/>
      </c>
      <c r="O153" s="11"/>
    </row>
    <row r="154" customFormat="false" ht="15" hidden="false" customHeight="false" outlineLevel="0" collapsed="false">
      <c r="A154" s="11"/>
      <c r="B154" s="11"/>
      <c r="C154" s="11"/>
      <c r="D154" s="11"/>
      <c r="E154" s="11"/>
      <c r="F154" s="11"/>
      <c r="G154" s="11"/>
      <c r="H154" s="11"/>
      <c r="I154" s="11"/>
      <c r="J154" s="15"/>
      <c r="K154" s="15"/>
      <c r="L154" s="11"/>
      <c r="M154" s="11"/>
      <c r="N154" s="17" t="str">
        <f aca="false">IF(OR(J154="",K154="",J154=0),"",(J154-K154)/J154)</f>
        <v/>
      </c>
      <c r="O154" s="11"/>
    </row>
    <row r="155" customFormat="false" ht="15" hidden="false" customHeight="false" outlineLevel="0" collapsed="false">
      <c r="A155" s="11"/>
      <c r="B155" s="11"/>
      <c r="C155" s="11"/>
      <c r="D155" s="11"/>
      <c r="E155" s="11"/>
      <c r="F155" s="11"/>
      <c r="G155" s="11"/>
      <c r="H155" s="11"/>
      <c r="I155" s="11"/>
      <c r="J155" s="15"/>
      <c r="K155" s="15"/>
      <c r="L155" s="11"/>
      <c r="M155" s="11"/>
      <c r="N155" s="17" t="str">
        <f aca="false">IF(OR(J155="",K155="",J155=0),"",(J155-K155)/J155)</f>
        <v/>
      </c>
      <c r="O155" s="11"/>
    </row>
    <row r="156" customFormat="false" ht="15" hidden="false" customHeight="false" outlineLevel="0" collapsed="false">
      <c r="A156" s="11"/>
      <c r="B156" s="11"/>
      <c r="C156" s="11"/>
      <c r="D156" s="11"/>
      <c r="E156" s="11"/>
      <c r="F156" s="11"/>
      <c r="G156" s="11"/>
      <c r="H156" s="11"/>
      <c r="I156" s="11"/>
      <c r="J156" s="15"/>
      <c r="K156" s="15"/>
      <c r="L156" s="11"/>
      <c r="M156" s="11"/>
      <c r="N156" s="17" t="str">
        <f aca="false">IF(OR(J156="",K156="",J156=0),"",(J156-K156)/J156)</f>
        <v/>
      </c>
      <c r="O156" s="11"/>
    </row>
    <row r="157" customFormat="false" ht="15" hidden="false" customHeight="false" outlineLevel="0" collapsed="false">
      <c r="A157" s="11"/>
      <c r="B157" s="11"/>
      <c r="C157" s="11"/>
      <c r="D157" s="11"/>
      <c r="E157" s="11"/>
      <c r="F157" s="11"/>
      <c r="G157" s="11"/>
      <c r="H157" s="11"/>
      <c r="I157" s="11"/>
      <c r="J157" s="15"/>
      <c r="K157" s="15"/>
      <c r="L157" s="11"/>
      <c r="M157" s="11"/>
      <c r="N157" s="17" t="str">
        <f aca="false">IF(OR(J157="",K157="",J157=0),"",(J157-K157)/J157)</f>
        <v/>
      </c>
      <c r="O157" s="11"/>
    </row>
    <row r="158" customFormat="false" ht="15" hidden="false" customHeight="false" outlineLevel="0" collapsed="false">
      <c r="A158" s="11"/>
      <c r="B158" s="11"/>
      <c r="C158" s="11"/>
      <c r="D158" s="11"/>
      <c r="E158" s="11"/>
      <c r="F158" s="11"/>
      <c r="G158" s="11"/>
      <c r="H158" s="11"/>
      <c r="I158" s="11"/>
      <c r="J158" s="15"/>
      <c r="K158" s="15"/>
      <c r="L158" s="11"/>
      <c r="M158" s="11"/>
      <c r="N158" s="17" t="str">
        <f aca="false">IF(OR(J158="",K158="",J158=0),"",(J158-K158)/J158)</f>
        <v/>
      </c>
      <c r="O158" s="11"/>
    </row>
    <row r="159" customFormat="false" ht="15" hidden="false" customHeight="false" outlineLevel="0" collapsed="false">
      <c r="A159" s="11"/>
      <c r="B159" s="11"/>
      <c r="C159" s="11"/>
      <c r="D159" s="11"/>
      <c r="E159" s="11"/>
      <c r="F159" s="11"/>
      <c r="G159" s="11"/>
      <c r="H159" s="11"/>
      <c r="I159" s="11"/>
      <c r="J159" s="15"/>
      <c r="K159" s="15"/>
      <c r="L159" s="11"/>
      <c r="M159" s="11"/>
      <c r="N159" s="17" t="str">
        <f aca="false">IF(OR(J159="",K159="",J159=0),"",(J159-K159)/J159)</f>
        <v/>
      </c>
      <c r="O159" s="11"/>
    </row>
    <row r="160" customFormat="false" ht="15" hidden="false" customHeight="false" outlineLevel="0" collapsed="false">
      <c r="A160" s="11"/>
      <c r="B160" s="11"/>
      <c r="C160" s="11"/>
      <c r="D160" s="11"/>
      <c r="E160" s="11"/>
      <c r="F160" s="11"/>
      <c r="G160" s="11"/>
      <c r="H160" s="11"/>
      <c r="I160" s="11"/>
      <c r="J160" s="15"/>
      <c r="K160" s="15"/>
      <c r="L160" s="11"/>
      <c r="M160" s="11"/>
      <c r="N160" s="17" t="str">
        <f aca="false">IF(OR(J160="",K160="",J160=0),"",(J160-K160)/J160)</f>
        <v/>
      </c>
      <c r="O160" s="11"/>
    </row>
    <row r="161" customFormat="false" ht="15" hidden="false" customHeight="false" outlineLevel="0" collapsed="false">
      <c r="A161" s="11"/>
      <c r="B161" s="11"/>
      <c r="C161" s="11"/>
      <c r="D161" s="11"/>
      <c r="E161" s="11"/>
      <c r="F161" s="11"/>
      <c r="G161" s="11"/>
      <c r="H161" s="11"/>
      <c r="I161" s="11"/>
      <c r="J161" s="15"/>
      <c r="K161" s="15"/>
      <c r="L161" s="11"/>
      <c r="M161" s="11"/>
      <c r="N161" s="17" t="str">
        <f aca="false">IF(OR(J161="",K161="",J161=0),"",(J161-K161)/J161)</f>
        <v/>
      </c>
      <c r="O161" s="11"/>
    </row>
    <row r="162" customFormat="false" ht="15" hidden="false" customHeight="false" outlineLevel="0" collapsed="false">
      <c r="A162" s="11"/>
      <c r="B162" s="11"/>
      <c r="C162" s="11"/>
      <c r="D162" s="11"/>
      <c r="E162" s="11"/>
      <c r="F162" s="11"/>
      <c r="G162" s="11"/>
      <c r="H162" s="11"/>
      <c r="I162" s="11"/>
      <c r="J162" s="15"/>
      <c r="K162" s="15"/>
      <c r="L162" s="11"/>
      <c r="M162" s="11"/>
      <c r="N162" s="17" t="str">
        <f aca="false">IF(OR(J162="",K162="",J162=0),"",(J162-K162)/J162)</f>
        <v/>
      </c>
      <c r="O162" s="11"/>
    </row>
    <row r="163" customFormat="false" ht="15" hidden="false" customHeight="false" outlineLevel="0" collapsed="false">
      <c r="A163" s="11"/>
      <c r="B163" s="11"/>
      <c r="C163" s="11"/>
      <c r="D163" s="11"/>
      <c r="E163" s="11"/>
      <c r="F163" s="11"/>
      <c r="G163" s="11"/>
      <c r="H163" s="11"/>
      <c r="I163" s="11"/>
      <c r="J163" s="15"/>
      <c r="K163" s="15"/>
      <c r="L163" s="11"/>
      <c r="M163" s="11"/>
      <c r="N163" s="17" t="str">
        <f aca="false">IF(OR(J163="",K163="",J163=0),"",(J163-K163)/J163)</f>
        <v/>
      </c>
      <c r="O163" s="11"/>
    </row>
    <row r="164" customFormat="false" ht="15" hidden="false" customHeight="false" outlineLevel="0" collapsed="false">
      <c r="A164" s="11"/>
      <c r="B164" s="11"/>
      <c r="C164" s="11"/>
      <c r="D164" s="11"/>
      <c r="E164" s="11"/>
      <c r="F164" s="11"/>
      <c r="G164" s="11"/>
      <c r="H164" s="11"/>
      <c r="I164" s="11"/>
      <c r="J164" s="15"/>
      <c r="K164" s="15"/>
      <c r="L164" s="11"/>
      <c r="M164" s="11"/>
      <c r="N164" s="17" t="str">
        <f aca="false">IF(OR(J164="",K164="",J164=0),"",(J164-K164)/J164)</f>
        <v/>
      </c>
      <c r="O164" s="11"/>
    </row>
    <row r="165" customFormat="false" ht="15" hidden="false" customHeight="false" outlineLevel="0" collapsed="false">
      <c r="A165" s="11"/>
      <c r="B165" s="11"/>
      <c r="C165" s="11"/>
      <c r="D165" s="11"/>
      <c r="E165" s="11"/>
      <c r="F165" s="11"/>
      <c r="G165" s="11"/>
      <c r="H165" s="11"/>
      <c r="I165" s="11"/>
      <c r="J165" s="15"/>
      <c r="K165" s="15"/>
      <c r="L165" s="11"/>
      <c r="M165" s="11"/>
      <c r="N165" s="17" t="str">
        <f aca="false">IF(OR(J165="",K165="",J165=0),"",(J165-K165)/J165)</f>
        <v/>
      </c>
      <c r="O165" s="11"/>
    </row>
    <row r="166" customFormat="false" ht="15" hidden="false" customHeight="false" outlineLevel="0" collapsed="false">
      <c r="A166" s="11"/>
      <c r="B166" s="11"/>
      <c r="C166" s="11"/>
      <c r="D166" s="11"/>
      <c r="E166" s="11"/>
      <c r="F166" s="11"/>
      <c r="G166" s="11"/>
      <c r="H166" s="11"/>
      <c r="I166" s="11"/>
      <c r="J166" s="15"/>
      <c r="K166" s="15"/>
      <c r="L166" s="11"/>
      <c r="M166" s="11"/>
      <c r="N166" s="17" t="str">
        <f aca="false">IF(OR(J166="",K166="",J166=0),"",(J166-K166)/J166)</f>
        <v/>
      </c>
      <c r="O166" s="11"/>
    </row>
    <row r="167" customFormat="false" ht="15" hidden="false" customHeight="false" outlineLevel="0" collapsed="false">
      <c r="A167" s="11"/>
      <c r="B167" s="11"/>
      <c r="C167" s="11"/>
      <c r="D167" s="11"/>
      <c r="E167" s="11"/>
      <c r="F167" s="11"/>
      <c r="G167" s="11"/>
      <c r="H167" s="11"/>
      <c r="I167" s="11"/>
      <c r="J167" s="15"/>
      <c r="K167" s="15"/>
      <c r="L167" s="11"/>
      <c r="M167" s="11"/>
      <c r="N167" s="17" t="str">
        <f aca="false">IF(OR(J167="",K167="",J167=0),"",(J167-K167)/J167)</f>
        <v/>
      </c>
      <c r="O167" s="11"/>
    </row>
    <row r="168" customFormat="false" ht="15" hidden="false" customHeight="false" outlineLevel="0" collapsed="false">
      <c r="A168" s="11"/>
      <c r="B168" s="11"/>
      <c r="C168" s="11"/>
      <c r="D168" s="11"/>
      <c r="E168" s="11"/>
      <c r="F168" s="11"/>
      <c r="G168" s="11"/>
      <c r="H168" s="11"/>
      <c r="I168" s="11"/>
      <c r="J168" s="15"/>
      <c r="K168" s="15"/>
      <c r="L168" s="11"/>
      <c r="M168" s="11"/>
      <c r="N168" s="17" t="str">
        <f aca="false">IF(OR(J168="",K168="",J168=0),"",(J168-K168)/J168)</f>
        <v/>
      </c>
      <c r="O168" s="11"/>
    </row>
    <row r="169" customFormat="false" ht="15" hidden="false" customHeight="false" outlineLevel="0" collapsed="false">
      <c r="A169" s="11"/>
      <c r="B169" s="11"/>
      <c r="C169" s="11"/>
      <c r="D169" s="11"/>
      <c r="E169" s="11"/>
      <c r="F169" s="11"/>
      <c r="G169" s="11"/>
      <c r="H169" s="11"/>
      <c r="I169" s="11"/>
      <c r="J169" s="15"/>
      <c r="K169" s="15"/>
      <c r="L169" s="11"/>
      <c r="M169" s="11"/>
      <c r="N169" s="17" t="str">
        <f aca="false">IF(OR(J169="",K169="",J169=0),"",(J169-K169)/J169)</f>
        <v/>
      </c>
      <c r="O169" s="11"/>
    </row>
    <row r="170" customFormat="false" ht="15" hidden="false" customHeight="false" outlineLevel="0" collapsed="false">
      <c r="A170" s="11"/>
      <c r="B170" s="11"/>
      <c r="C170" s="11"/>
      <c r="D170" s="11"/>
      <c r="E170" s="11"/>
      <c r="F170" s="11"/>
      <c r="G170" s="11"/>
      <c r="H170" s="11"/>
      <c r="I170" s="11"/>
      <c r="J170" s="15"/>
      <c r="K170" s="15"/>
      <c r="L170" s="11"/>
      <c r="M170" s="11"/>
      <c r="N170" s="17" t="str">
        <f aca="false">IF(OR(J170="",K170="",J170=0),"",(J170-K170)/J170)</f>
        <v/>
      </c>
      <c r="O170" s="11"/>
    </row>
    <row r="171" customFormat="false" ht="15" hidden="false" customHeight="false" outlineLevel="0" collapsed="false">
      <c r="A171" s="11"/>
      <c r="B171" s="11"/>
      <c r="C171" s="11"/>
      <c r="D171" s="11"/>
      <c r="E171" s="11"/>
      <c r="F171" s="11"/>
      <c r="G171" s="11"/>
      <c r="H171" s="11"/>
      <c r="I171" s="11"/>
      <c r="J171" s="15"/>
      <c r="K171" s="15"/>
      <c r="L171" s="11"/>
      <c r="M171" s="11"/>
      <c r="N171" s="17" t="str">
        <f aca="false">IF(OR(J171="",K171="",J171=0),"",(J171-K171)/J171)</f>
        <v/>
      </c>
      <c r="O171" s="11"/>
    </row>
    <row r="172" customFormat="false" ht="15" hidden="false" customHeight="false" outlineLevel="0" collapsed="false">
      <c r="A172" s="11"/>
      <c r="B172" s="11"/>
      <c r="C172" s="11"/>
      <c r="D172" s="11"/>
      <c r="E172" s="11"/>
      <c r="F172" s="11"/>
      <c r="G172" s="11"/>
      <c r="H172" s="11"/>
      <c r="I172" s="11"/>
      <c r="J172" s="15"/>
      <c r="K172" s="15"/>
      <c r="L172" s="11"/>
      <c r="M172" s="11"/>
      <c r="N172" s="17" t="str">
        <f aca="false">IF(OR(J172="",K172="",J172=0),"",(J172-K172)/J172)</f>
        <v/>
      </c>
      <c r="O172" s="11"/>
    </row>
    <row r="173" customFormat="false" ht="15" hidden="false" customHeight="false" outlineLevel="0" collapsed="false">
      <c r="A173" s="11"/>
      <c r="B173" s="11"/>
      <c r="C173" s="11"/>
      <c r="D173" s="11"/>
      <c r="E173" s="11"/>
      <c r="F173" s="11"/>
      <c r="G173" s="11"/>
      <c r="H173" s="11"/>
      <c r="I173" s="11"/>
      <c r="J173" s="15"/>
      <c r="K173" s="15"/>
      <c r="L173" s="11"/>
      <c r="M173" s="11"/>
      <c r="N173" s="17" t="str">
        <f aca="false">IF(OR(J173="",K173="",J173=0),"",(J173-K173)/J173)</f>
        <v/>
      </c>
      <c r="O173" s="11"/>
    </row>
    <row r="174" customFormat="false" ht="15" hidden="false" customHeight="false" outlineLevel="0" collapsed="false">
      <c r="A174" s="11"/>
      <c r="B174" s="11"/>
      <c r="C174" s="11"/>
      <c r="D174" s="11"/>
      <c r="E174" s="11"/>
      <c r="F174" s="11"/>
      <c r="G174" s="11"/>
      <c r="H174" s="11"/>
      <c r="I174" s="11"/>
      <c r="J174" s="15"/>
      <c r="K174" s="15"/>
      <c r="L174" s="11"/>
      <c r="M174" s="11"/>
      <c r="N174" s="17" t="str">
        <f aca="false">IF(OR(J174="",K174="",J174=0),"",(J174-K174)/J174)</f>
        <v/>
      </c>
      <c r="O174" s="11"/>
    </row>
    <row r="175" customFormat="false" ht="15" hidden="false" customHeight="false" outlineLevel="0" collapsed="false">
      <c r="A175" s="11"/>
      <c r="B175" s="11"/>
      <c r="C175" s="11"/>
      <c r="D175" s="11"/>
      <c r="E175" s="11"/>
      <c r="F175" s="11"/>
      <c r="G175" s="11"/>
      <c r="H175" s="11"/>
      <c r="I175" s="11"/>
      <c r="J175" s="15"/>
      <c r="K175" s="15"/>
      <c r="L175" s="11"/>
      <c r="M175" s="11"/>
      <c r="N175" s="17" t="str">
        <f aca="false">IF(OR(J175="",K175="",J175=0),"",(J175-K175)/J175)</f>
        <v/>
      </c>
      <c r="O175" s="11"/>
    </row>
    <row r="176" customFormat="false" ht="15" hidden="false" customHeight="false" outlineLevel="0" collapsed="false">
      <c r="A176" s="11"/>
      <c r="B176" s="11"/>
      <c r="C176" s="11"/>
      <c r="D176" s="11"/>
      <c r="E176" s="11"/>
      <c r="F176" s="11"/>
      <c r="G176" s="11"/>
      <c r="H176" s="11"/>
      <c r="I176" s="11"/>
      <c r="J176" s="15"/>
      <c r="K176" s="15"/>
      <c r="L176" s="11"/>
      <c r="M176" s="11"/>
      <c r="N176" s="17" t="str">
        <f aca="false">IF(OR(J176="",K176="",J176=0),"",(J176-K176)/J176)</f>
        <v/>
      </c>
      <c r="O176" s="11"/>
    </row>
    <row r="177" customFormat="false" ht="15" hidden="false" customHeight="false" outlineLevel="0" collapsed="false">
      <c r="A177" s="11"/>
      <c r="B177" s="11"/>
      <c r="C177" s="11"/>
      <c r="D177" s="11"/>
      <c r="E177" s="11"/>
      <c r="F177" s="11"/>
      <c r="G177" s="11"/>
      <c r="H177" s="11"/>
      <c r="I177" s="11"/>
      <c r="J177" s="15"/>
      <c r="K177" s="15"/>
      <c r="L177" s="11"/>
      <c r="M177" s="11"/>
      <c r="N177" s="17" t="str">
        <f aca="false">IF(OR(J177="",K177="",J177=0),"",(J177-K177)/J177)</f>
        <v/>
      </c>
      <c r="O177" s="11"/>
    </row>
    <row r="178" customFormat="false" ht="15" hidden="false" customHeight="false" outlineLevel="0" collapsed="false">
      <c r="A178" s="11"/>
      <c r="B178" s="11"/>
      <c r="C178" s="11"/>
      <c r="D178" s="11"/>
      <c r="E178" s="11"/>
      <c r="F178" s="11"/>
      <c r="G178" s="11"/>
      <c r="H178" s="11"/>
      <c r="I178" s="11"/>
      <c r="J178" s="15"/>
      <c r="K178" s="15"/>
      <c r="L178" s="11"/>
      <c r="M178" s="11"/>
      <c r="N178" s="17" t="str">
        <f aca="false">IF(OR(J178="",K178="",J178=0),"",(J178-K178)/J178)</f>
        <v/>
      </c>
      <c r="O178" s="11"/>
    </row>
    <row r="179" customFormat="false" ht="15" hidden="false" customHeight="false" outlineLevel="0" collapsed="false">
      <c r="A179" s="11"/>
      <c r="B179" s="11"/>
      <c r="C179" s="11"/>
      <c r="D179" s="11"/>
      <c r="E179" s="11"/>
      <c r="F179" s="11"/>
      <c r="G179" s="11"/>
      <c r="H179" s="11"/>
      <c r="I179" s="11"/>
      <c r="J179" s="15"/>
      <c r="K179" s="15"/>
      <c r="L179" s="11"/>
      <c r="M179" s="11"/>
      <c r="N179" s="17" t="str">
        <f aca="false">IF(OR(J179="",K179="",J179=0),"",(J179-K179)/J179)</f>
        <v/>
      </c>
      <c r="O179" s="11"/>
    </row>
    <row r="180" customFormat="false" ht="15" hidden="false" customHeight="false" outlineLevel="0" collapsed="false">
      <c r="A180" s="11"/>
      <c r="B180" s="11"/>
      <c r="C180" s="11"/>
      <c r="D180" s="11"/>
      <c r="E180" s="11"/>
      <c r="F180" s="11"/>
      <c r="G180" s="11"/>
      <c r="H180" s="11"/>
      <c r="I180" s="11"/>
      <c r="J180" s="15"/>
      <c r="K180" s="15"/>
      <c r="L180" s="11"/>
      <c r="M180" s="11"/>
      <c r="N180" s="17" t="str">
        <f aca="false">IF(OR(J180="",K180="",J180=0),"",(J180-K180)/J180)</f>
        <v/>
      </c>
      <c r="O180" s="11"/>
    </row>
    <row r="181" customFormat="false" ht="15" hidden="false" customHeight="false" outlineLevel="0" collapsed="false">
      <c r="A181" s="11"/>
      <c r="B181" s="11"/>
      <c r="C181" s="11"/>
      <c r="D181" s="11"/>
      <c r="E181" s="11"/>
      <c r="F181" s="11"/>
      <c r="G181" s="11"/>
      <c r="H181" s="11"/>
      <c r="I181" s="11"/>
      <c r="J181" s="15"/>
      <c r="K181" s="15"/>
      <c r="L181" s="11"/>
      <c r="M181" s="11"/>
      <c r="N181" s="17" t="str">
        <f aca="false">IF(OR(J181="",K181="",J181=0),"",(J181-K181)/J181)</f>
        <v/>
      </c>
      <c r="O181" s="11"/>
    </row>
    <row r="182" customFormat="false" ht="15" hidden="false" customHeight="false" outlineLevel="0" collapsed="false">
      <c r="A182" s="11"/>
      <c r="B182" s="11"/>
      <c r="C182" s="11"/>
      <c r="D182" s="11"/>
      <c r="E182" s="11"/>
      <c r="F182" s="11"/>
      <c r="G182" s="11"/>
      <c r="H182" s="11"/>
      <c r="I182" s="11"/>
      <c r="J182" s="15"/>
      <c r="K182" s="15"/>
      <c r="L182" s="11"/>
      <c r="M182" s="11"/>
      <c r="N182" s="17" t="str">
        <f aca="false">IF(OR(J182="",K182="",J182=0),"",(J182-K182)/J182)</f>
        <v/>
      </c>
      <c r="O182" s="11"/>
    </row>
    <row r="183" customFormat="false" ht="15" hidden="false" customHeight="false" outlineLevel="0" collapsed="false">
      <c r="A183" s="11"/>
      <c r="B183" s="11"/>
      <c r="C183" s="11"/>
      <c r="D183" s="11"/>
      <c r="E183" s="11"/>
      <c r="F183" s="11"/>
      <c r="G183" s="11"/>
      <c r="H183" s="11"/>
      <c r="I183" s="11"/>
      <c r="J183" s="15"/>
      <c r="K183" s="15"/>
      <c r="L183" s="11"/>
      <c r="M183" s="11"/>
      <c r="N183" s="17" t="str">
        <f aca="false">IF(OR(J183="",K183="",J183=0),"",(J183-K183)/J183)</f>
        <v/>
      </c>
      <c r="O183" s="11"/>
    </row>
    <row r="184" customFormat="false" ht="15" hidden="false" customHeight="false" outlineLevel="0" collapsed="false">
      <c r="A184" s="11"/>
      <c r="B184" s="11"/>
      <c r="C184" s="11"/>
      <c r="D184" s="11"/>
      <c r="E184" s="11"/>
      <c r="F184" s="11"/>
      <c r="G184" s="11"/>
      <c r="H184" s="11"/>
      <c r="I184" s="11"/>
      <c r="J184" s="15"/>
      <c r="K184" s="15"/>
      <c r="L184" s="11"/>
      <c r="M184" s="11"/>
      <c r="N184" s="17" t="str">
        <f aca="false">IF(OR(J184="",K184="",J184=0),"",(J184-K184)/J184)</f>
        <v/>
      </c>
      <c r="O184" s="11"/>
    </row>
    <row r="185" customFormat="false" ht="15" hidden="false" customHeight="false" outlineLevel="0" collapsed="false">
      <c r="A185" s="11"/>
      <c r="B185" s="11"/>
      <c r="C185" s="11"/>
      <c r="D185" s="11"/>
      <c r="E185" s="11"/>
      <c r="F185" s="11"/>
      <c r="G185" s="11"/>
      <c r="H185" s="11"/>
      <c r="I185" s="11"/>
      <c r="J185" s="15"/>
      <c r="K185" s="15"/>
      <c r="L185" s="11"/>
      <c r="M185" s="11"/>
      <c r="N185" s="17" t="str">
        <f aca="false">IF(OR(J185="",K185="",J185=0),"",(J185-K185)/J185)</f>
        <v/>
      </c>
      <c r="O185" s="11"/>
    </row>
    <row r="186" customFormat="false" ht="15" hidden="false" customHeight="false" outlineLevel="0" collapsed="false">
      <c r="A186" s="11"/>
      <c r="B186" s="11"/>
      <c r="C186" s="11"/>
      <c r="D186" s="11"/>
      <c r="E186" s="11"/>
      <c r="F186" s="11"/>
      <c r="G186" s="11"/>
      <c r="H186" s="11"/>
      <c r="I186" s="11"/>
      <c r="J186" s="15"/>
      <c r="K186" s="15"/>
      <c r="L186" s="11"/>
      <c r="M186" s="11"/>
      <c r="N186" s="17" t="str">
        <f aca="false">IF(OR(J186="",K186="",J186=0),"",(J186-K186)/J186)</f>
        <v/>
      </c>
      <c r="O186" s="11"/>
    </row>
    <row r="187" customFormat="false" ht="15" hidden="false" customHeight="false" outlineLevel="0" collapsed="false">
      <c r="A187" s="11"/>
      <c r="B187" s="11"/>
      <c r="C187" s="11"/>
      <c r="D187" s="11"/>
      <c r="E187" s="11"/>
      <c r="F187" s="11"/>
      <c r="G187" s="11"/>
      <c r="H187" s="11"/>
      <c r="I187" s="11"/>
      <c r="J187" s="15"/>
      <c r="K187" s="15"/>
      <c r="L187" s="11"/>
      <c r="M187" s="11"/>
      <c r="N187" s="17" t="str">
        <f aca="false">IF(OR(J187="",K187="",J187=0),"",(J187-K187)/J187)</f>
        <v/>
      </c>
      <c r="O187" s="11"/>
    </row>
    <row r="188" customFormat="false" ht="15" hidden="false" customHeight="false" outlineLevel="0" collapsed="false">
      <c r="A188" s="11"/>
      <c r="B188" s="11"/>
      <c r="C188" s="11"/>
      <c r="D188" s="11"/>
      <c r="E188" s="11"/>
      <c r="F188" s="11"/>
      <c r="G188" s="11"/>
      <c r="H188" s="11"/>
      <c r="I188" s="11"/>
      <c r="J188" s="15"/>
      <c r="K188" s="15"/>
      <c r="L188" s="11"/>
      <c r="M188" s="11"/>
      <c r="N188" s="17" t="str">
        <f aca="false">IF(OR(J188="",K188="",J188=0),"",(J188-K188)/J188)</f>
        <v/>
      </c>
      <c r="O188" s="11"/>
    </row>
    <row r="189" customFormat="false" ht="15" hidden="false" customHeight="false" outlineLevel="0" collapsed="false">
      <c r="A189" s="11"/>
      <c r="B189" s="11"/>
      <c r="C189" s="11"/>
      <c r="D189" s="11"/>
      <c r="E189" s="11"/>
      <c r="F189" s="11"/>
      <c r="G189" s="11"/>
      <c r="H189" s="11"/>
      <c r="I189" s="11"/>
      <c r="J189" s="15"/>
      <c r="K189" s="15"/>
      <c r="L189" s="11"/>
      <c r="M189" s="11"/>
      <c r="N189" s="17" t="str">
        <f aca="false">IF(OR(J189="",K189="",J189=0),"",(J189-K189)/J189)</f>
        <v/>
      </c>
      <c r="O189" s="11"/>
    </row>
    <row r="190" customFormat="false" ht="15" hidden="false" customHeight="false" outlineLevel="0" collapsed="false">
      <c r="A190" s="11"/>
      <c r="B190" s="11"/>
      <c r="C190" s="11"/>
      <c r="D190" s="11"/>
      <c r="E190" s="11"/>
      <c r="F190" s="11"/>
      <c r="G190" s="11"/>
      <c r="H190" s="11"/>
      <c r="I190" s="11"/>
      <c r="J190" s="15"/>
      <c r="K190" s="15"/>
      <c r="L190" s="11"/>
      <c r="M190" s="11"/>
      <c r="N190" s="17" t="str">
        <f aca="false">IF(OR(J190="",K190="",J190=0),"",(J190-K190)/J190)</f>
        <v/>
      </c>
      <c r="O190" s="11"/>
    </row>
    <row r="191" customFormat="false" ht="15" hidden="false" customHeight="false" outlineLevel="0" collapsed="false">
      <c r="A191" s="11"/>
      <c r="B191" s="11"/>
      <c r="C191" s="11"/>
      <c r="D191" s="11"/>
      <c r="E191" s="11"/>
      <c r="F191" s="11"/>
      <c r="G191" s="11"/>
      <c r="H191" s="11"/>
      <c r="I191" s="11"/>
      <c r="J191" s="15"/>
      <c r="K191" s="15"/>
      <c r="L191" s="11"/>
      <c r="M191" s="11"/>
      <c r="N191" s="17" t="str">
        <f aca="false">IF(OR(J191="",K191="",J191=0),"",(J191-K191)/J191)</f>
        <v/>
      </c>
      <c r="O191" s="11"/>
    </row>
    <row r="192" customFormat="false" ht="15" hidden="false" customHeight="false" outlineLevel="0" collapsed="false">
      <c r="A192" s="11"/>
      <c r="B192" s="11"/>
      <c r="C192" s="11"/>
      <c r="D192" s="11"/>
      <c r="E192" s="11"/>
      <c r="F192" s="11"/>
      <c r="G192" s="11"/>
      <c r="H192" s="11"/>
      <c r="I192" s="11"/>
      <c r="J192" s="15"/>
      <c r="K192" s="15"/>
      <c r="L192" s="11"/>
      <c r="M192" s="11"/>
      <c r="N192" s="17" t="str">
        <f aca="false">IF(OR(J192="",K192="",J192=0),"",(J192-K192)/J192)</f>
        <v/>
      </c>
      <c r="O192" s="11"/>
    </row>
    <row r="193" customFormat="false" ht="15" hidden="false" customHeight="false" outlineLevel="0" collapsed="false">
      <c r="A193" s="11"/>
      <c r="B193" s="11"/>
      <c r="C193" s="11"/>
      <c r="D193" s="11"/>
      <c r="E193" s="11"/>
      <c r="F193" s="11"/>
      <c r="G193" s="11"/>
      <c r="H193" s="11"/>
      <c r="I193" s="11"/>
      <c r="J193" s="15"/>
      <c r="K193" s="15"/>
      <c r="L193" s="11"/>
      <c r="M193" s="11"/>
      <c r="N193" s="17" t="str">
        <f aca="false">IF(OR(J193="",K193="",J193=0),"",(J193-K193)/J193)</f>
        <v/>
      </c>
      <c r="O193" s="11"/>
    </row>
    <row r="194" customFormat="false" ht="15" hidden="false" customHeight="false" outlineLevel="0" collapsed="false">
      <c r="A194" s="11"/>
      <c r="B194" s="11"/>
      <c r="C194" s="11"/>
      <c r="D194" s="11"/>
      <c r="E194" s="11"/>
      <c r="F194" s="11"/>
      <c r="G194" s="11"/>
      <c r="H194" s="11"/>
      <c r="I194" s="11"/>
      <c r="J194" s="15"/>
      <c r="K194" s="15"/>
      <c r="L194" s="11"/>
      <c r="M194" s="11"/>
      <c r="N194" s="17" t="str">
        <f aca="false">IF(OR(J194="",K194="",J194=0),"",(J194-K194)/J194)</f>
        <v/>
      </c>
      <c r="O194" s="11"/>
    </row>
    <row r="195" customFormat="false" ht="15" hidden="false" customHeight="false" outlineLevel="0" collapsed="false">
      <c r="A195" s="11"/>
      <c r="B195" s="11"/>
      <c r="C195" s="11"/>
      <c r="D195" s="11"/>
      <c r="E195" s="11"/>
      <c r="F195" s="11"/>
      <c r="G195" s="11"/>
      <c r="H195" s="11"/>
      <c r="I195" s="11"/>
      <c r="J195" s="15"/>
      <c r="K195" s="15"/>
      <c r="L195" s="11"/>
      <c r="M195" s="11"/>
      <c r="N195" s="17" t="str">
        <f aca="false">IF(OR(J195="",K195="",J195=0),"",(J195-K195)/J195)</f>
        <v/>
      </c>
      <c r="O195" s="11"/>
    </row>
    <row r="196" customFormat="false" ht="15" hidden="false" customHeight="false" outlineLevel="0" collapsed="false">
      <c r="A196" s="11"/>
      <c r="B196" s="11"/>
      <c r="C196" s="11"/>
      <c r="D196" s="11"/>
      <c r="E196" s="11"/>
      <c r="F196" s="11"/>
      <c r="G196" s="11"/>
      <c r="H196" s="11"/>
      <c r="I196" s="11"/>
      <c r="J196" s="15"/>
      <c r="K196" s="15"/>
      <c r="L196" s="11"/>
      <c r="M196" s="11"/>
      <c r="N196" s="17" t="str">
        <f aca="false">IF(OR(J196="",K196="",J196=0),"",(J196-K196)/J196)</f>
        <v/>
      </c>
      <c r="O196" s="11"/>
    </row>
    <row r="197" customFormat="false" ht="15" hidden="false" customHeight="false" outlineLevel="0" collapsed="false">
      <c r="A197" s="11"/>
      <c r="B197" s="11"/>
      <c r="C197" s="11"/>
      <c r="D197" s="11"/>
      <c r="E197" s="11"/>
      <c r="F197" s="11"/>
      <c r="G197" s="11"/>
      <c r="H197" s="11"/>
      <c r="I197" s="11"/>
      <c r="J197" s="15"/>
      <c r="K197" s="15"/>
      <c r="L197" s="11"/>
      <c r="M197" s="11"/>
      <c r="N197" s="17" t="str">
        <f aca="false">IF(OR(J197="",K197="",J197=0),"",(J197-K197)/J197)</f>
        <v/>
      </c>
      <c r="O197" s="11"/>
    </row>
    <row r="198" customFormat="false" ht="15" hidden="false" customHeight="false" outlineLevel="0" collapsed="false">
      <c r="A198" s="11"/>
      <c r="B198" s="11"/>
      <c r="C198" s="11"/>
      <c r="D198" s="11"/>
      <c r="E198" s="11"/>
      <c r="F198" s="11"/>
      <c r="G198" s="11"/>
      <c r="H198" s="11"/>
      <c r="I198" s="11"/>
      <c r="J198" s="15"/>
      <c r="K198" s="15"/>
      <c r="L198" s="11"/>
      <c r="M198" s="11"/>
      <c r="N198" s="17" t="str">
        <f aca="false">IF(OR(J198="",K198="",J198=0),"",(J198-K198)/J198)</f>
        <v/>
      </c>
      <c r="O198" s="11"/>
    </row>
    <row r="199" customFormat="false" ht="15" hidden="false" customHeight="false" outlineLevel="0" collapsed="false">
      <c r="A199" s="11"/>
      <c r="B199" s="11"/>
      <c r="C199" s="11"/>
      <c r="D199" s="11"/>
      <c r="E199" s="11"/>
      <c r="F199" s="11"/>
      <c r="G199" s="11"/>
      <c r="H199" s="11"/>
      <c r="I199" s="11"/>
      <c r="J199" s="15"/>
      <c r="K199" s="15"/>
      <c r="L199" s="11"/>
      <c r="M199" s="11"/>
      <c r="N199" s="17" t="str">
        <f aca="false">IF(OR(J199="",K199="",J199=0),"",(J199-K199)/J199)</f>
        <v/>
      </c>
      <c r="O199" s="11"/>
    </row>
    <row r="200" customFormat="false" ht="15" hidden="false" customHeight="false" outlineLevel="0" collapsed="false">
      <c r="A200" s="11"/>
      <c r="B200" s="11"/>
      <c r="C200" s="11"/>
      <c r="D200" s="11"/>
      <c r="E200" s="11"/>
      <c r="F200" s="11"/>
      <c r="G200" s="11"/>
      <c r="H200" s="11"/>
      <c r="I200" s="11"/>
      <c r="J200" s="15"/>
      <c r="K200" s="15"/>
      <c r="L200" s="11"/>
      <c r="M200" s="11"/>
      <c r="N200" s="17" t="str">
        <f aca="false">IF(OR(J200="",K200="",J200=0),"",(J200-K200)/J200)</f>
        <v/>
      </c>
      <c r="O200" s="11"/>
    </row>
    <row r="201" customFormat="false" ht="15" hidden="false" customHeight="false" outlineLevel="0" collapsed="false">
      <c r="A201" s="11"/>
      <c r="B201" s="11"/>
      <c r="C201" s="11"/>
      <c r="D201" s="11"/>
      <c r="E201" s="11"/>
      <c r="F201" s="11"/>
      <c r="G201" s="11"/>
      <c r="H201" s="11"/>
      <c r="I201" s="11"/>
      <c r="J201" s="15"/>
      <c r="K201" s="15"/>
      <c r="L201" s="11"/>
      <c r="M201" s="11"/>
      <c r="N201" s="17" t="str">
        <f aca="false">IF(OR(J201="",K201="",J201=0),"",(J201-K201)/J201)</f>
        <v/>
      </c>
      <c r="O201" s="11"/>
    </row>
    <row r="202" customFormat="false" ht="15" hidden="false" customHeight="false" outlineLevel="0" collapsed="false">
      <c r="A202" s="11"/>
      <c r="B202" s="11"/>
      <c r="C202" s="11"/>
      <c r="D202" s="11"/>
      <c r="E202" s="11"/>
      <c r="F202" s="11"/>
      <c r="G202" s="11"/>
      <c r="H202" s="11"/>
      <c r="I202" s="11"/>
      <c r="J202" s="15"/>
      <c r="K202" s="15"/>
      <c r="L202" s="11"/>
      <c r="M202" s="11"/>
      <c r="N202" s="17" t="str">
        <f aca="false">IF(OR(J202="",K202="",J202=0),"",(J202-K202)/J202)</f>
        <v/>
      </c>
      <c r="O202" s="11"/>
    </row>
    <row r="203" customFormat="false" ht="15" hidden="false" customHeight="false" outlineLevel="0" collapsed="false">
      <c r="A203" s="11"/>
      <c r="B203" s="11"/>
      <c r="C203" s="11"/>
      <c r="D203" s="11"/>
      <c r="E203" s="11"/>
      <c r="F203" s="11"/>
      <c r="G203" s="11"/>
      <c r="H203" s="11"/>
      <c r="I203" s="11"/>
      <c r="J203" s="15"/>
      <c r="K203" s="15"/>
      <c r="L203" s="11"/>
      <c r="M203" s="11"/>
      <c r="N203" s="17" t="str">
        <f aca="false">IF(OR(J203="",K203="",J203=0),"",(J203-K203)/J203)</f>
        <v/>
      </c>
      <c r="O203" s="11"/>
    </row>
    <row r="204" customFormat="false" ht="15" hidden="false" customHeight="false" outlineLevel="0" collapsed="false">
      <c r="A204" s="11"/>
      <c r="B204" s="11"/>
      <c r="C204" s="11"/>
      <c r="D204" s="11"/>
      <c r="E204" s="11"/>
      <c r="F204" s="11"/>
      <c r="G204" s="11"/>
      <c r="H204" s="11"/>
      <c r="I204" s="11"/>
      <c r="J204" s="15"/>
      <c r="K204" s="15"/>
      <c r="L204" s="11"/>
      <c r="M204" s="11"/>
      <c r="N204" s="17" t="str">
        <f aca="false">IF(OR(J204="",K204="",J204=0),"",(J204-K204)/J204)</f>
        <v/>
      </c>
      <c r="O204" s="11"/>
    </row>
    <row r="205" customFormat="false" ht="15" hidden="false" customHeight="false" outlineLevel="0" collapsed="false">
      <c r="A205" s="11"/>
      <c r="B205" s="11"/>
      <c r="C205" s="11"/>
      <c r="D205" s="11"/>
      <c r="E205" s="11"/>
      <c r="F205" s="11"/>
      <c r="G205" s="11"/>
      <c r="H205" s="11"/>
      <c r="I205" s="11"/>
      <c r="J205" s="15"/>
      <c r="K205" s="15"/>
      <c r="L205" s="11"/>
      <c r="M205" s="11"/>
      <c r="N205" s="17" t="str">
        <f aca="false">IF(OR(J205="",K205="",J205=0),"",(J205-K205)/J205)</f>
        <v/>
      </c>
      <c r="O205" s="11"/>
    </row>
    <row r="206" customFormat="false" ht="15" hidden="false" customHeight="false" outlineLevel="0" collapsed="false">
      <c r="A206" s="11"/>
      <c r="B206" s="11"/>
      <c r="C206" s="11"/>
      <c r="D206" s="11"/>
      <c r="E206" s="11"/>
      <c r="F206" s="11"/>
      <c r="G206" s="11"/>
      <c r="H206" s="11"/>
      <c r="I206" s="11"/>
      <c r="J206" s="15"/>
      <c r="K206" s="15"/>
      <c r="L206" s="11"/>
      <c r="M206" s="11"/>
      <c r="N206" s="17" t="str">
        <f aca="false">IF(OR(J206="",K206="",J206=0),"",(J206-K206)/J206)</f>
        <v/>
      </c>
      <c r="O206" s="11"/>
    </row>
    <row r="207" customFormat="false" ht="15" hidden="false" customHeight="false" outlineLevel="0" collapsed="false">
      <c r="A207" s="11"/>
      <c r="B207" s="11"/>
      <c r="C207" s="11"/>
      <c r="D207" s="11"/>
      <c r="E207" s="11"/>
      <c r="F207" s="11"/>
      <c r="G207" s="11"/>
      <c r="H207" s="11"/>
      <c r="I207" s="11"/>
      <c r="J207" s="15"/>
      <c r="K207" s="15"/>
      <c r="L207" s="11"/>
      <c r="M207" s="11"/>
      <c r="N207" s="17" t="str">
        <f aca="false">IF(OR(J207="",K207="",J207=0),"",(J207-K207)/J207)</f>
        <v/>
      </c>
      <c r="O207" s="11"/>
    </row>
    <row r="208" customFormat="false" ht="15" hidden="false" customHeight="false" outlineLevel="0" collapsed="false">
      <c r="A208" s="11"/>
      <c r="B208" s="11"/>
      <c r="C208" s="11"/>
      <c r="D208" s="11"/>
      <c r="E208" s="11"/>
      <c r="F208" s="11"/>
      <c r="G208" s="11"/>
      <c r="H208" s="11"/>
      <c r="I208" s="11"/>
      <c r="J208" s="15"/>
      <c r="K208" s="15"/>
      <c r="L208" s="11"/>
      <c r="M208" s="11"/>
      <c r="N208" s="17" t="str">
        <f aca="false">IF(OR(J208="",K208="",J208=0),"",(J208-K208)/J208)</f>
        <v/>
      </c>
      <c r="O208" s="11"/>
    </row>
    <row r="209" customFormat="false" ht="15" hidden="false" customHeight="false" outlineLevel="0" collapsed="false">
      <c r="A209" s="11"/>
      <c r="B209" s="11"/>
      <c r="C209" s="11"/>
      <c r="D209" s="11"/>
      <c r="E209" s="11"/>
      <c r="F209" s="11"/>
      <c r="G209" s="11"/>
      <c r="H209" s="11"/>
      <c r="I209" s="11"/>
      <c r="J209" s="15"/>
      <c r="K209" s="15"/>
      <c r="L209" s="11"/>
      <c r="M209" s="11"/>
      <c r="N209" s="17" t="str">
        <f aca="false">IF(OR(J209="",K209="",J209=0),"",(J209-K209)/J209)</f>
        <v/>
      </c>
      <c r="O209" s="11"/>
    </row>
    <row r="210" customFormat="false" ht="15" hidden="false" customHeight="false" outlineLevel="0" collapsed="false">
      <c r="A210" s="11"/>
      <c r="B210" s="11"/>
      <c r="C210" s="11"/>
      <c r="D210" s="11"/>
      <c r="E210" s="11"/>
      <c r="F210" s="11"/>
      <c r="G210" s="11"/>
      <c r="H210" s="11"/>
      <c r="I210" s="11"/>
      <c r="J210" s="15"/>
      <c r="K210" s="15"/>
      <c r="L210" s="11"/>
      <c r="M210" s="11"/>
      <c r="N210" s="17" t="str">
        <f aca="false">IF(OR(J210="",K210="",J210=0),"",(J210-K210)/J210)</f>
        <v/>
      </c>
      <c r="O210" s="11"/>
    </row>
    <row r="211" customFormat="false" ht="15" hidden="false" customHeight="false" outlineLevel="0" collapsed="false">
      <c r="A211" s="11"/>
      <c r="B211" s="11"/>
      <c r="C211" s="11"/>
      <c r="D211" s="11"/>
      <c r="E211" s="11"/>
      <c r="F211" s="11"/>
      <c r="G211" s="11"/>
      <c r="H211" s="11"/>
      <c r="I211" s="11"/>
      <c r="J211" s="15"/>
      <c r="K211" s="15"/>
      <c r="L211" s="11"/>
      <c r="M211" s="11"/>
      <c r="N211" s="17" t="str">
        <f aca="false">IF(OR(J211="",K211="",J211=0),"",(J211-K211)/J211)</f>
        <v/>
      </c>
      <c r="O211" s="11"/>
    </row>
    <row r="212" customFormat="false" ht="15" hidden="false" customHeight="false" outlineLevel="0" collapsed="false">
      <c r="A212" s="11"/>
      <c r="B212" s="11"/>
      <c r="C212" s="11"/>
      <c r="D212" s="11"/>
      <c r="E212" s="11"/>
      <c r="F212" s="11"/>
      <c r="G212" s="11"/>
      <c r="H212" s="11"/>
      <c r="I212" s="11"/>
      <c r="J212" s="15"/>
      <c r="K212" s="15"/>
      <c r="L212" s="11"/>
      <c r="M212" s="11"/>
      <c r="N212" s="17" t="str">
        <f aca="false">IF(OR(J212="",K212="",J212=0),"",(J212-K212)/J212)</f>
        <v/>
      </c>
      <c r="O212" s="11"/>
    </row>
    <row r="213" customFormat="false" ht="15" hidden="false" customHeight="false" outlineLevel="0" collapsed="false">
      <c r="A213" s="11"/>
      <c r="B213" s="11"/>
      <c r="C213" s="11"/>
      <c r="D213" s="11"/>
      <c r="E213" s="11"/>
      <c r="F213" s="11"/>
      <c r="G213" s="11"/>
      <c r="H213" s="11"/>
      <c r="I213" s="11"/>
      <c r="J213" s="15"/>
      <c r="K213" s="15"/>
      <c r="L213" s="11"/>
      <c r="M213" s="11"/>
      <c r="N213" s="17" t="str">
        <f aca="false">IF(OR(J213="",K213="",J213=0),"",(J213-K213)/J213)</f>
        <v/>
      </c>
      <c r="O213" s="11"/>
    </row>
    <row r="214" customFormat="false" ht="15" hidden="false" customHeight="false" outlineLevel="0" collapsed="false">
      <c r="A214" s="11"/>
      <c r="B214" s="11"/>
      <c r="C214" s="11"/>
      <c r="D214" s="11"/>
      <c r="E214" s="11"/>
      <c r="F214" s="11"/>
      <c r="G214" s="11"/>
      <c r="H214" s="11"/>
      <c r="I214" s="11"/>
      <c r="J214" s="15"/>
      <c r="K214" s="15"/>
      <c r="L214" s="11"/>
      <c r="M214" s="11"/>
      <c r="N214" s="17" t="str">
        <f aca="false">IF(OR(J214="",K214="",J214=0),"",(J214-K214)/J214)</f>
        <v/>
      </c>
      <c r="O214" s="11"/>
    </row>
    <row r="215" customFormat="false" ht="15" hidden="false" customHeight="false" outlineLevel="0" collapsed="false">
      <c r="A215" s="11"/>
      <c r="B215" s="11"/>
      <c r="C215" s="11"/>
      <c r="D215" s="11"/>
      <c r="E215" s="11"/>
      <c r="F215" s="11"/>
      <c r="G215" s="11"/>
      <c r="H215" s="11"/>
      <c r="I215" s="11"/>
      <c r="J215" s="15"/>
      <c r="K215" s="15"/>
      <c r="L215" s="11"/>
      <c r="M215" s="11"/>
      <c r="N215" s="17" t="str">
        <f aca="false">IF(OR(J215="",K215="",J215=0),"",(J215-K215)/J215)</f>
        <v/>
      </c>
      <c r="O215" s="11"/>
    </row>
    <row r="216" customFormat="false" ht="15" hidden="false" customHeight="false" outlineLevel="0" collapsed="false">
      <c r="A216" s="11"/>
      <c r="B216" s="11"/>
      <c r="C216" s="11"/>
      <c r="D216" s="11"/>
      <c r="E216" s="11"/>
      <c r="F216" s="11"/>
      <c r="G216" s="11"/>
      <c r="H216" s="11"/>
      <c r="I216" s="11"/>
      <c r="J216" s="15"/>
      <c r="K216" s="15"/>
      <c r="L216" s="11"/>
      <c r="M216" s="11"/>
      <c r="N216" s="17" t="str">
        <f aca="false">IF(OR(J216="",K216="",J216=0),"",(J216-K216)/J216)</f>
        <v/>
      </c>
      <c r="O216" s="11"/>
    </row>
    <row r="217" customFormat="false" ht="15" hidden="false" customHeight="false" outlineLevel="0" collapsed="false">
      <c r="A217" s="11"/>
      <c r="B217" s="11"/>
      <c r="C217" s="11"/>
      <c r="D217" s="11"/>
      <c r="E217" s="11"/>
      <c r="F217" s="11"/>
      <c r="G217" s="11"/>
      <c r="H217" s="11"/>
      <c r="I217" s="11"/>
      <c r="J217" s="15"/>
      <c r="K217" s="15"/>
      <c r="L217" s="11"/>
      <c r="M217" s="11"/>
      <c r="N217" s="17" t="str">
        <f aca="false">IF(OR(J217="",K217="",J217=0),"",(J217-K217)/J217)</f>
        <v/>
      </c>
      <c r="O217" s="11"/>
    </row>
    <row r="218" customFormat="false" ht="15" hidden="false" customHeight="false" outlineLevel="0" collapsed="false">
      <c r="A218" s="11"/>
      <c r="B218" s="11"/>
      <c r="C218" s="11"/>
      <c r="D218" s="11"/>
      <c r="E218" s="11"/>
      <c r="F218" s="11"/>
      <c r="G218" s="11"/>
      <c r="H218" s="11"/>
      <c r="I218" s="11"/>
      <c r="J218" s="15"/>
      <c r="K218" s="15"/>
      <c r="L218" s="11"/>
      <c r="M218" s="11"/>
      <c r="N218" s="17" t="str">
        <f aca="false">IF(OR(J218="",K218="",J218=0),"",(J218-K218)/J218)</f>
        <v/>
      </c>
      <c r="O218" s="11"/>
    </row>
    <row r="219" customFormat="false" ht="15" hidden="false" customHeight="false" outlineLevel="0" collapsed="false">
      <c r="A219" s="11"/>
      <c r="B219" s="11"/>
      <c r="C219" s="11"/>
      <c r="D219" s="11"/>
      <c r="E219" s="11"/>
      <c r="F219" s="11"/>
      <c r="G219" s="11"/>
      <c r="H219" s="11"/>
      <c r="I219" s="11"/>
      <c r="J219" s="15"/>
      <c r="K219" s="15"/>
      <c r="L219" s="11"/>
      <c r="M219" s="11"/>
      <c r="N219" s="17" t="str">
        <f aca="false">IF(OR(J219="",K219="",J219=0),"",(J219-K219)/J219)</f>
        <v/>
      </c>
      <c r="O219" s="11"/>
    </row>
    <row r="220" customFormat="false" ht="15" hidden="false" customHeight="false" outlineLevel="0" collapsed="false">
      <c r="A220" s="11"/>
      <c r="B220" s="11"/>
      <c r="C220" s="11"/>
      <c r="D220" s="11"/>
      <c r="E220" s="11"/>
      <c r="F220" s="11"/>
      <c r="G220" s="11"/>
      <c r="H220" s="11"/>
      <c r="I220" s="11"/>
      <c r="J220" s="15"/>
      <c r="K220" s="15"/>
      <c r="L220" s="11"/>
      <c r="M220" s="11"/>
      <c r="N220" s="17" t="str">
        <f aca="false">IF(OR(J220="",K220="",J220=0),"",(J220-K220)/J220)</f>
        <v/>
      </c>
      <c r="O220" s="11"/>
    </row>
    <row r="221" customFormat="false" ht="15" hidden="false" customHeight="false" outlineLevel="0" collapsed="false">
      <c r="A221" s="11"/>
      <c r="B221" s="11"/>
      <c r="C221" s="11"/>
      <c r="D221" s="11"/>
      <c r="E221" s="11"/>
      <c r="F221" s="11"/>
      <c r="G221" s="11"/>
      <c r="H221" s="11"/>
      <c r="I221" s="11"/>
      <c r="J221" s="15"/>
      <c r="K221" s="15"/>
      <c r="L221" s="11"/>
      <c r="M221" s="11"/>
      <c r="N221" s="17" t="str">
        <f aca="false">IF(OR(J221="",K221="",J221=0),"",(J221-K221)/J221)</f>
        <v/>
      </c>
      <c r="O221" s="11"/>
    </row>
    <row r="222" customFormat="false" ht="15" hidden="false" customHeight="false" outlineLevel="0" collapsed="false">
      <c r="A222" s="11"/>
      <c r="B222" s="11"/>
      <c r="C222" s="11"/>
      <c r="D222" s="11"/>
      <c r="E222" s="11"/>
      <c r="F222" s="11"/>
      <c r="G222" s="11"/>
      <c r="H222" s="11"/>
      <c r="I222" s="11"/>
      <c r="J222" s="15"/>
      <c r="K222" s="15"/>
      <c r="L222" s="11"/>
      <c r="M222" s="11"/>
      <c r="N222" s="17" t="str">
        <f aca="false">IF(OR(J222="",K222="",J222=0),"",(J222-K222)/J222)</f>
        <v/>
      </c>
      <c r="O222" s="11"/>
    </row>
    <row r="223" customFormat="false" ht="15" hidden="false" customHeight="false" outlineLevel="0" collapsed="false">
      <c r="A223" s="11"/>
      <c r="B223" s="11"/>
      <c r="C223" s="11"/>
      <c r="D223" s="11"/>
      <c r="E223" s="11"/>
      <c r="F223" s="11"/>
      <c r="G223" s="11"/>
      <c r="H223" s="11"/>
      <c r="I223" s="11"/>
      <c r="J223" s="15"/>
      <c r="K223" s="15"/>
      <c r="L223" s="11"/>
      <c r="M223" s="11"/>
      <c r="N223" s="17" t="str">
        <f aca="false">IF(OR(J223="",K223="",J223=0),"",(J223-K223)/J223)</f>
        <v/>
      </c>
      <c r="O223" s="11"/>
    </row>
    <row r="224" customFormat="false" ht="15" hidden="false" customHeight="false" outlineLevel="0" collapsed="false">
      <c r="A224" s="11"/>
      <c r="B224" s="11"/>
      <c r="C224" s="11"/>
      <c r="D224" s="11"/>
      <c r="E224" s="11"/>
      <c r="F224" s="11"/>
      <c r="G224" s="11"/>
      <c r="H224" s="11"/>
      <c r="I224" s="11"/>
      <c r="J224" s="15"/>
      <c r="K224" s="15"/>
      <c r="L224" s="11"/>
      <c r="M224" s="11"/>
      <c r="N224" s="17" t="str">
        <f aca="false">IF(OR(J224="",K224="",J224=0),"",(J224-K224)/J224)</f>
        <v/>
      </c>
      <c r="O224" s="11"/>
    </row>
    <row r="225" customFormat="false" ht="15" hidden="false" customHeight="false" outlineLevel="0" collapsed="false">
      <c r="A225" s="11"/>
      <c r="B225" s="11"/>
      <c r="C225" s="11"/>
      <c r="D225" s="11"/>
      <c r="E225" s="11"/>
      <c r="F225" s="11"/>
      <c r="G225" s="11"/>
      <c r="H225" s="11"/>
      <c r="I225" s="11"/>
      <c r="J225" s="15"/>
      <c r="K225" s="15"/>
      <c r="L225" s="11"/>
      <c r="M225" s="11"/>
      <c r="N225" s="17" t="str">
        <f aca="false">IF(OR(J225="",K225="",J225=0),"",(J225-K225)/J225)</f>
        <v/>
      </c>
      <c r="O225" s="11"/>
    </row>
    <row r="226" customFormat="false" ht="15" hidden="false" customHeight="false" outlineLevel="0" collapsed="false">
      <c r="A226" s="11"/>
      <c r="B226" s="11"/>
      <c r="C226" s="11"/>
      <c r="D226" s="11"/>
      <c r="E226" s="11"/>
      <c r="F226" s="11"/>
      <c r="G226" s="11"/>
      <c r="H226" s="11"/>
      <c r="I226" s="11"/>
      <c r="J226" s="15"/>
      <c r="K226" s="15"/>
      <c r="L226" s="11"/>
      <c r="M226" s="11"/>
      <c r="N226" s="17" t="str">
        <f aca="false">IF(OR(J226="",K226="",J226=0),"",(J226-K226)/J226)</f>
        <v/>
      </c>
      <c r="O226" s="11"/>
    </row>
    <row r="227" customFormat="false" ht="15" hidden="false" customHeight="false" outlineLevel="0" collapsed="false">
      <c r="A227" s="11"/>
      <c r="B227" s="11"/>
      <c r="C227" s="11"/>
      <c r="D227" s="11"/>
      <c r="E227" s="11"/>
      <c r="F227" s="11"/>
      <c r="G227" s="11"/>
      <c r="H227" s="11"/>
      <c r="I227" s="11"/>
      <c r="J227" s="15"/>
      <c r="K227" s="15"/>
      <c r="L227" s="11"/>
      <c r="M227" s="11"/>
      <c r="N227" s="17" t="str">
        <f aca="false">IF(OR(J227="",K227="",J227=0),"",(J227-K227)/J227)</f>
        <v/>
      </c>
      <c r="O227" s="11"/>
    </row>
    <row r="228" customFormat="false" ht="15" hidden="false" customHeight="false" outlineLevel="0" collapsed="false">
      <c r="A228" s="11"/>
      <c r="B228" s="11"/>
      <c r="C228" s="11"/>
      <c r="D228" s="11"/>
      <c r="E228" s="11"/>
      <c r="F228" s="11"/>
      <c r="G228" s="11"/>
      <c r="H228" s="11"/>
      <c r="I228" s="11"/>
      <c r="J228" s="15"/>
      <c r="K228" s="15"/>
      <c r="L228" s="11"/>
      <c r="M228" s="11"/>
      <c r="N228" s="17" t="str">
        <f aca="false">IF(OR(J228="",K228="",J228=0),"",(J228-K228)/J228)</f>
        <v/>
      </c>
      <c r="O228" s="11"/>
    </row>
    <row r="229" customFormat="false" ht="15" hidden="false" customHeight="false" outlineLevel="0" collapsed="false">
      <c r="A229" s="11"/>
      <c r="B229" s="11"/>
      <c r="C229" s="11"/>
      <c r="D229" s="11"/>
      <c r="E229" s="11"/>
      <c r="F229" s="11"/>
      <c r="G229" s="11"/>
      <c r="H229" s="11"/>
      <c r="I229" s="11"/>
      <c r="J229" s="15"/>
      <c r="K229" s="15"/>
      <c r="L229" s="11"/>
      <c r="M229" s="11"/>
      <c r="N229" s="17" t="str">
        <f aca="false">IF(OR(J229="",K229="",J229=0),"",(J229-K229)/J229)</f>
        <v/>
      </c>
      <c r="O229" s="11"/>
    </row>
    <row r="230" customFormat="false" ht="15" hidden="false" customHeight="false" outlineLevel="0" collapsed="false">
      <c r="A230" s="11"/>
      <c r="B230" s="11"/>
      <c r="C230" s="11"/>
      <c r="D230" s="11"/>
      <c r="E230" s="11"/>
      <c r="F230" s="11"/>
      <c r="G230" s="11"/>
      <c r="H230" s="11"/>
      <c r="I230" s="11"/>
      <c r="J230" s="15"/>
      <c r="K230" s="15"/>
      <c r="L230" s="11"/>
      <c r="M230" s="11"/>
      <c r="N230" s="17" t="str">
        <f aca="false">IF(OR(J230="",K230="",J230=0),"",(J230-K230)/J230)</f>
        <v/>
      </c>
      <c r="O230" s="11"/>
    </row>
    <row r="231" customFormat="false" ht="15" hidden="false" customHeight="false" outlineLevel="0" collapsed="false">
      <c r="A231" s="11"/>
      <c r="B231" s="11"/>
      <c r="C231" s="11"/>
      <c r="D231" s="11"/>
      <c r="E231" s="11"/>
      <c r="F231" s="11"/>
      <c r="G231" s="11"/>
      <c r="H231" s="11"/>
      <c r="I231" s="11"/>
      <c r="J231" s="15"/>
      <c r="K231" s="15"/>
      <c r="L231" s="11"/>
      <c r="M231" s="11"/>
      <c r="N231" s="17" t="str">
        <f aca="false">IF(OR(J231="",K231="",J231=0),"",(J231-K231)/J231)</f>
        <v/>
      </c>
      <c r="O231" s="11"/>
    </row>
    <row r="232" customFormat="false" ht="15" hidden="false" customHeight="false" outlineLevel="0" collapsed="false">
      <c r="A232" s="11"/>
      <c r="B232" s="11"/>
      <c r="C232" s="11"/>
      <c r="D232" s="11"/>
      <c r="E232" s="11"/>
      <c r="F232" s="11"/>
      <c r="G232" s="11"/>
      <c r="H232" s="11"/>
      <c r="I232" s="11"/>
      <c r="J232" s="15"/>
      <c r="K232" s="15"/>
      <c r="L232" s="11"/>
      <c r="M232" s="11"/>
      <c r="N232" s="17" t="str">
        <f aca="false">IF(OR(J232="",K232="",J232=0),"",(J232-K232)/J232)</f>
        <v/>
      </c>
      <c r="O232" s="11"/>
    </row>
    <row r="233" customFormat="false" ht="15" hidden="false" customHeight="false" outlineLevel="0" collapsed="false">
      <c r="A233" s="11"/>
      <c r="B233" s="11"/>
      <c r="C233" s="11"/>
      <c r="D233" s="11"/>
      <c r="E233" s="11"/>
      <c r="F233" s="11"/>
      <c r="G233" s="11"/>
      <c r="H233" s="11"/>
      <c r="I233" s="11"/>
      <c r="J233" s="15"/>
      <c r="K233" s="15"/>
      <c r="L233" s="11"/>
      <c r="M233" s="11"/>
      <c r="N233" s="17" t="str">
        <f aca="false">IF(OR(J233="",K233="",J233=0),"",(J233-K233)/J233)</f>
        <v/>
      </c>
      <c r="O233" s="11"/>
    </row>
    <row r="234" customFormat="false" ht="15" hidden="false" customHeight="false" outlineLevel="0" collapsed="false">
      <c r="A234" s="11"/>
      <c r="B234" s="11"/>
      <c r="C234" s="11"/>
      <c r="D234" s="11"/>
      <c r="E234" s="11"/>
      <c r="F234" s="11"/>
      <c r="G234" s="11"/>
      <c r="H234" s="11"/>
      <c r="I234" s="11"/>
      <c r="J234" s="15"/>
      <c r="K234" s="15"/>
      <c r="L234" s="11"/>
      <c r="M234" s="11"/>
      <c r="N234" s="17" t="str">
        <f aca="false">IF(OR(J234="",K234="",J234=0),"",(J234-K234)/J234)</f>
        <v/>
      </c>
      <c r="O234" s="11"/>
    </row>
    <row r="235" customFormat="false" ht="15" hidden="false" customHeight="false" outlineLevel="0" collapsed="false">
      <c r="A235" s="11"/>
      <c r="B235" s="11"/>
      <c r="C235" s="11"/>
      <c r="D235" s="11"/>
      <c r="E235" s="11"/>
      <c r="F235" s="11"/>
      <c r="G235" s="11"/>
      <c r="H235" s="11"/>
      <c r="I235" s="11"/>
      <c r="J235" s="15"/>
      <c r="K235" s="15"/>
      <c r="L235" s="11"/>
      <c r="M235" s="11"/>
      <c r="N235" s="17" t="str">
        <f aca="false">IF(OR(J235="",K235="",J235=0),"",(J235-K235)/J235)</f>
        <v/>
      </c>
      <c r="O235" s="11"/>
    </row>
    <row r="236" customFormat="false" ht="15" hidden="false" customHeight="false" outlineLevel="0" collapsed="false">
      <c r="A236" s="11"/>
      <c r="B236" s="11"/>
      <c r="C236" s="11"/>
      <c r="D236" s="11"/>
      <c r="E236" s="11"/>
      <c r="F236" s="11"/>
      <c r="G236" s="11"/>
      <c r="H236" s="11"/>
      <c r="I236" s="11"/>
      <c r="J236" s="15"/>
      <c r="K236" s="15"/>
      <c r="L236" s="11"/>
      <c r="M236" s="11"/>
      <c r="N236" s="17" t="str">
        <f aca="false">IF(OR(J236="",K236="",J236=0),"",(J236-K236)/J236)</f>
        <v/>
      </c>
      <c r="O236" s="11"/>
    </row>
    <row r="237" customFormat="false" ht="15" hidden="false" customHeight="false" outlineLevel="0" collapsed="false">
      <c r="A237" s="11"/>
      <c r="B237" s="11"/>
      <c r="C237" s="11"/>
      <c r="D237" s="11"/>
      <c r="E237" s="11"/>
      <c r="F237" s="11"/>
      <c r="G237" s="11"/>
      <c r="H237" s="11"/>
      <c r="I237" s="11"/>
      <c r="J237" s="15"/>
      <c r="K237" s="15"/>
      <c r="L237" s="11"/>
      <c r="M237" s="11"/>
      <c r="N237" s="17" t="str">
        <f aca="false">IF(OR(J237="",K237="",J237=0),"",(J237-K237)/J237)</f>
        <v/>
      </c>
      <c r="O237" s="11"/>
    </row>
    <row r="238" customFormat="false" ht="15" hidden="false" customHeight="false" outlineLevel="0" collapsed="false">
      <c r="A238" s="11"/>
      <c r="B238" s="11"/>
      <c r="C238" s="11"/>
      <c r="D238" s="11"/>
      <c r="E238" s="11"/>
      <c r="F238" s="11"/>
      <c r="G238" s="11"/>
      <c r="H238" s="11"/>
      <c r="I238" s="11"/>
      <c r="J238" s="15"/>
      <c r="K238" s="15"/>
      <c r="L238" s="11"/>
      <c r="M238" s="11"/>
      <c r="N238" s="17" t="str">
        <f aca="false">IF(OR(J238="",K238="",J238=0),"",(J238-K238)/J238)</f>
        <v/>
      </c>
      <c r="O238" s="11"/>
    </row>
    <row r="239" customFormat="false" ht="15" hidden="false" customHeight="false" outlineLevel="0" collapsed="false">
      <c r="A239" s="11"/>
      <c r="B239" s="11"/>
      <c r="C239" s="11"/>
      <c r="D239" s="11"/>
      <c r="E239" s="11"/>
      <c r="F239" s="11"/>
      <c r="G239" s="11"/>
      <c r="H239" s="11"/>
      <c r="I239" s="11"/>
      <c r="J239" s="15"/>
      <c r="K239" s="15"/>
      <c r="L239" s="11"/>
      <c r="M239" s="11"/>
      <c r="N239" s="17" t="str">
        <f aca="false">IF(OR(J239="",K239="",J239=0),"",(J239-K239)/J239)</f>
        <v/>
      </c>
      <c r="O239" s="11"/>
    </row>
    <row r="240" customFormat="false" ht="15" hidden="false" customHeight="false" outlineLevel="0" collapsed="false">
      <c r="A240" s="11"/>
      <c r="B240" s="11"/>
      <c r="C240" s="11"/>
      <c r="D240" s="11"/>
      <c r="E240" s="11"/>
      <c r="F240" s="11"/>
      <c r="G240" s="11"/>
      <c r="H240" s="11"/>
      <c r="I240" s="11"/>
      <c r="J240" s="15"/>
      <c r="K240" s="15"/>
      <c r="L240" s="11"/>
      <c r="M240" s="11"/>
      <c r="N240" s="17" t="str">
        <f aca="false">IF(OR(J240="",K240="",J240=0),"",(J240-K240)/J240)</f>
        <v/>
      </c>
      <c r="O240" s="11"/>
    </row>
    <row r="241" customFormat="false" ht="15" hidden="false" customHeight="false" outlineLevel="0" collapsed="false">
      <c r="A241" s="11"/>
      <c r="B241" s="11"/>
      <c r="C241" s="11"/>
      <c r="D241" s="11"/>
      <c r="E241" s="11"/>
      <c r="F241" s="11"/>
      <c r="G241" s="11"/>
      <c r="H241" s="11"/>
      <c r="I241" s="11"/>
      <c r="J241" s="15"/>
      <c r="K241" s="15"/>
      <c r="L241" s="11"/>
      <c r="M241" s="11"/>
      <c r="N241" s="17" t="str">
        <f aca="false">IF(OR(J241="",K241="",J241=0),"",(J241-K241)/J241)</f>
        <v/>
      </c>
      <c r="O241" s="11"/>
    </row>
    <row r="242" customFormat="false" ht="15" hidden="false" customHeight="false" outlineLevel="0" collapsed="false">
      <c r="A242" s="11"/>
      <c r="B242" s="11"/>
      <c r="C242" s="11"/>
      <c r="D242" s="11"/>
      <c r="E242" s="11"/>
      <c r="F242" s="11"/>
      <c r="G242" s="11"/>
      <c r="H242" s="11"/>
      <c r="I242" s="11"/>
      <c r="J242" s="15"/>
      <c r="K242" s="15"/>
      <c r="L242" s="11"/>
      <c r="M242" s="11"/>
      <c r="N242" s="17" t="str">
        <f aca="false">IF(OR(J242="",K242="",J242=0),"",(J242-K242)/J242)</f>
        <v/>
      </c>
      <c r="O242" s="11"/>
    </row>
    <row r="243" customFormat="false" ht="15" hidden="false" customHeight="false" outlineLevel="0" collapsed="false">
      <c r="A243" s="11"/>
      <c r="B243" s="11"/>
      <c r="C243" s="11"/>
      <c r="D243" s="11"/>
      <c r="E243" s="11"/>
      <c r="F243" s="11"/>
      <c r="G243" s="11"/>
      <c r="H243" s="11"/>
      <c r="I243" s="11"/>
      <c r="J243" s="15"/>
      <c r="K243" s="15"/>
      <c r="L243" s="11"/>
      <c r="M243" s="11"/>
      <c r="N243" s="17" t="str">
        <f aca="false">IF(OR(J243="",K243="",J243=0),"",(J243-K243)/J243)</f>
        <v/>
      </c>
      <c r="O243" s="11"/>
    </row>
    <row r="244" customFormat="false" ht="15" hidden="false" customHeight="false" outlineLevel="0" collapsed="false">
      <c r="A244" s="11"/>
      <c r="B244" s="11"/>
      <c r="C244" s="11"/>
      <c r="D244" s="11"/>
      <c r="E244" s="11"/>
      <c r="F244" s="11"/>
      <c r="G244" s="11"/>
      <c r="H244" s="11"/>
      <c r="I244" s="11"/>
      <c r="J244" s="15"/>
      <c r="K244" s="15"/>
      <c r="L244" s="11"/>
      <c r="M244" s="11"/>
      <c r="N244" s="17" t="str">
        <f aca="false">IF(OR(J244="",K244="",J244=0),"",(J244-K244)/J244)</f>
        <v/>
      </c>
      <c r="O244" s="11"/>
    </row>
    <row r="245" customFormat="false" ht="15" hidden="false" customHeight="false" outlineLevel="0" collapsed="false">
      <c r="A245" s="11"/>
      <c r="B245" s="11"/>
      <c r="C245" s="11"/>
      <c r="D245" s="11"/>
      <c r="E245" s="11"/>
      <c r="F245" s="11"/>
      <c r="G245" s="11"/>
      <c r="H245" s="11"/>
      <c r="I245" s="11"/>
      <c r="J245" s="15"/>
      <c r="K245" s="15"/>
      <c r="L245" s="11"/>
      <c r="M245" s="11"/>
      <c r="N245" s="17" t="str">
        <f aca="false">IF(OR(J245="",K245="",J245=0),"",(J245-K245)/J245)</f>
        <v/>
      </c>
      <c r="O245" s="11"/>
    </row>
    <row r="246" customFormat="false" ht="15" hidden="false" customHeight="false" outlineLevel="0" collapsed="false">
      <c r="A246" s="11"/>
      <c r="B246" s="11"/>
      <c r="C246" s="11"/>
      <c r="D246" s="11"/>
      <c r="E246" s="11"/>
      <c r="F246" s="11"/>
      <c r="G246" s="11"/>
      <c r="H246" s="11"/>
      <c r="I246" s="11"/>
      <c r="J246" s="15"/>
      <c r="K246" s="15"/>
      <c r="L246" s="11"/>
      <c r="M246" s="11"/>
      <c r="N246" s="17" t="str">
        <f aca="false">IF(OR(J246="",K246="",J246=0),"",(J246-K246)/J246)</f>
        <v/>
      </c>
      <c r="O246" s="11"/>
    </row>
    <row r="247" customFormat="false" ht="15" hidden="false" customHeight="false" outlineLevel="0" collapsed="false">
      <c r="A247" s="11"/>
      <c r="B247" s="11"/>
      <c r="C247" s="11"/>
      <c r="D247" s="11"/>
      <c r="E247" s="11"/>
      <c r="F247" s="11"/>
      <c r="G247" s="11"/>
      <c r="H247" s="11"/>
      <c r="I247" s="11"/>
      <c r="J247" s="15"/>
      <c r="K247" s="15"/>
      <c r="L247" s="11"/>
      <c r="M247" s="11"/>
      <c r="N247" s="17" t="str">
        <f aca="false">IF(OR(J247="",K247="",J247=0),"",(J247-K247)/J247)</f>
        <v/>
      </c>
      <c r="O247" s="11"/>
    </row>
    <row r="248" customFormat="false" ht="15" hidden="false" customHeight="false" outlineLevel="0" collapsed="false">
      <c r="A248" s="11"/>
      <c r="B248" s="11"/>
      <c r="C248" s="11"/>
      <c r="D248" s="11"/>
      <c r="E248" s="11"/>
      <c r="F248" s="11"/>
      <c r="G248" s="11"/>
      <c r="H248" s="11"/>
      <c r="I248" s="11"/>
      <c r="J248" s="15"/>
      <c r="K248" s="15"/>
      <c r="L248" s="11"/>
      <c r="M248" s="11"/>
      <c r="N248" s="17" t="str">
        <f aca="false">IF(OR(J248="",K248="",J248=0),"",(J248-K248)/J248)</f>
        <v/>
      </c>
      <c r="O248" s="11"/>
    </row>
    <row r="249" customFormat="false" ht="15" hidden="false" customHeight="false" outlineLevel="0" collapsed="false">
      <c r="A249" s="11"/>
      <c r="B249" s="11"/>
      <c r="C249" s="11"/>
      <c r="D249" s="11"/>
      <c r="E249" s="11"/>
      <c r="F249" s="11"/>
      <c r="G249" s="11"/>
      <c r="H249" s="11"/>
      <c r="I249" s="11"/>
      <c r="J249" s="15"/>
      <c r="K249" s="15"/>
      <c r="L249" s="11"/>
      <c r="M249" s="11"/>
      <c r="N249" s="17" t="str">
        <f aca="false">IF(OR(J249="",K249="",J249=0),"",(J249-K249)/J249)</f>
        <v/>
      </c>
      <c r="O249" s="11"/>
    </row>
    <row r="250" customFormat="false" ht="15" hidden="false" customHeight="false" outlineLevel="0" collapsed="false">
      <c r="A250" s="11"/>
      <c r="B250" s="11"/>
      <c r="C250" s="11"/>
      <c r="D250" s="11"/>
      <c r="E250" s="11"/>
      <c r="F250" s="11"/>
      <c r="G250" s="11"/>
      <c r="H250" s="11"/>
      <c r="I250" s="11"/>
      <c r="J250" s="15"/>
      <c r="K250" s="15"/>
      <c r="L250" s="11"/>
      <c r="M250" s="11"/>
      <c r="N250" s="17" t="str">
        <f aca="false">IF(OR(J250="",K250="",J250=0),"",(J250-K250)/J250)</f>
        <v/>
      </c>
      <c r="O250" s="11"/>
    </row>
    <row r="251" customFormat="false" ht="15" hidden="false" customHeight="false" outlineLevel="0" collapsed="false">
      <c r="A251" s="11"/>
      <c r="B251" s="11"/>
      <c r="C251" s="11"/>
      <c r="D251" s="11"/>
      <c r="E251" s="11"/>
      <c r="F251" s="11"/>
      <c r="G251" s="11"/>
      <c r="H251" s="11"/>
      <c r="I251" s="11"/>
      <c r="J251" s="15"/>
      <c r="K251" s="15"/>
      <c r="L251" s="11"/>
      <c r="M251" s="11"/>
      <c r="N251" s="17" t="str">
        <f aca="false">IF(OR(J251="",K251="",J251=0),"",(J251-K251)/J251)</f>
        <v/>
      </c>
      <c r="O251" s="11"/>
    </row>
    <row r="252" customFormat="false" ht="15" hidden="false" customHeight="false" outlineLevel="0" collapsed="false">
      <c r="A252" s="11"/>
      <c r="B252" s="11"/>
      <c r="C252" s="11"/>
      <c r="D252" s="11"/>
      <c r="E252" s="11"/>
      <c r="F252" s="11"/>
      <c r="G252" s="11"/>
      <c r="H252" s="11"/>
      <c r="I252" s="11"/>
      <c r="J252" s="15"/>
      <c r="K252" s="15"/>
      <c r="L252" s="11"/>
      <c r="M252" s="11"/>
      <c r="N252" s="17" t="str">
        <f aca="false">IF(OR(J252="",K252="",J252=0),"",(J252-K252)/J252)</f>
        <v/>
      </c>
      <c r="O252" s="11"/>
    </row>
    <row r="253" customFormat="false" ht="15" hidden="false" customHeight="false" outlineLevel="0" collapsed="false">
      <c r="A253" s="11"/>
      <c r="B253" s="11"/>
      <c r="C253" s="11"/>
      <c r="D253" s="11"/>
      <c r="E253" s="11"/>
      <c r="F253" s="11"/>
      <c r="G253" s="11"/>
      <c r="H253" s="11"/>
      <c r="I253" s="11"/>
      <c r="J253" s="15"/>
      <c r="K253" s="15"/>
      <c r="L253" s="11"/>
      <c r="M253" s="11"/>
      <c r="N253" s="17" t="str">
        <f aca="false">IF(OR(J253="",K253="",J253=0),"",(J253-K253)/J253)</f>
        <v/>
      </c>
      <c r="O253" s="11"/>
    </row>
    <row r="254" customFormat="false" ht="15" hidden="false" customHeight="false" outlineLevel="0" collapsed="false">
      <c r="A254" s="11"/>
      <c r="B254" s="11"/>
      <c r="C254" s="11"/>
      <c r="D254" s="11"/>
      <c r="E254" s="11"/>
      <c r="F254" s="11"/>
      <c r="G254" s="11"/>
      <c r="H254" s="11"/>
      <c r="I254" s="11"/>
      <c r="J254" s="15"/>
      <c r="K254" s="15"/>
      <c r="L254" s="11"/>
      <c r="M254" s="11"/>
      <c r="N254" s="17" t="str">
        <f aca="false">IF(OR(J254="",K254="",J254=0),"",(J254-K254)/J254)</f>
        <v/>
      </c>
      <c r="O254" s="11"/>
    </row>
    <row r="255" customFormat="false" ht="15" hidden="false" customHeight="false" outlineLevel="0" collapsed="false">
      <c r="A255" s="11"/>
      <c r="B255" s="11"/>
      <c r="C255" s="11"/>
      <c r="D255" s="11"/>
      <c r="E255" s="11"/>
      <c r="F255" s="11"/>
      <c r="G255" s="11"/>
      <c r="H255" s="11"/>
      <c r="I255" s="11"/>
      <c r="J255" s="15"/>
      <c r="K255" s="15"/>
      <c r="L255" s="11"/>
      <c r="M255" s="11"/>
      <c r="N255" s="17" t="str">
        <f aca="false">IF(OR(J255="",K255="",J255=0),"",(J255-K255)/J255)</f>
        <v/>
      </c>
      <c r="O255" s="11"/>
    </row>
    <row r="256" customFormat="false" ht="15" hidden="false" customHeight="false" outlineLevel="0" collapsed="false">
      <c r="A256" s="11"/>
      <c r="B256" s="11"/>
      <c r="C256" s="11"/>
      <c r="D256" s="11"/>
      <c r="E256" s="11"/>
      <c r="F256" s="11"/>
      <c r="G256" s="11"/>
      <c r="H256" s="11"/>
      <c r="I256" s="11"/>
      <c r="J256" s="15"/>
      <c r="K256" s="15"/>
      <c r="L256" s="11"/>
      <c r="M256" s="11"/>
      <c r="N256" s="17" t="str">
        <f aca="false">IF(OR(J256="",K256="",J256=0),"",(J256-K256)/J256)</f>
        <v/>
      </c>
      <c r="O256" s="11"/>
    </row>
    <row r="257" customFormat="false" ht="15" hidden="false" customHeight="false" outlineLevel="0" collapsed="false">
      <c r="A257" s="11"/>
      <c r="B257" s="11"/>
      <c r="C257" s="11"/>
      <c r="D257" s="11"/>
      <c r="E257" s="11"/>
      <c r="F257" s="11"/>
      <c r="G257" s="11"/>
      <c r="H257" s="11"/>
      <c r="I257" s="11"/>
      <c r="J257" s="15"/>
      <c r="K257" s="15"/>
      <c r="L257" s="11"/>
      <c r="M257" s="11"/>
      <c r="N257" s="17" t="str">
        <f aca="false">IF(OR(J257="",K257="",J257=0),"",(J257-K257)/J257)</f>
        <v/>
      </c>
      <c r="O257" s="11"/>
    </row>
    <row r="258" customFormat="false" ht="15" hidden="false" customHeight="false" outlineLevel="0" collapsed="false">
      <c r="A258" s="11"/>
      <c r="B258" s="11"/>
      <c r="C258" s="11"/>
      <c r="D258" s="11"/>
      <c r="E258" s="11"/>
      <c r="F258" s="11"/>
      <c r="G258" s="11"/>
      <c r="H258" s="11"/>
      <c r="I258" s="11"/>
      <c r="J258" s="15"/>
      <c r="K258" s="15"/>
      <c r="L258" s="11"/>
      <c r="M258" s="11"/>
      <c r="N258" s="17" t="str">
        <f aca="false">IF(OR(J258="",K258="",J258=0),"",(J258-K258)/J258)</f>
        <v/>
      </c>
      <c r="O258" s="11"/>
    </row>
    <row r="259" customFormat="false" ht="15" hidden="false" customHeight="false" outlineLevel="0" collapsed="false">
      <c r="A259" s="11"/>
      <c r="B259" s="11"/>
      <c r="C259" s="11"/>
      <c r="D259" s="11"/>
      <c r="E259" s="11"/>
      <c r="F259" s="11"/>
      <c r="G259" s="11"/>
      <c r="H259" s="11"/>
      <c r="I259" s="11"/>
      <c r="J259" s="15"/>
      <c r="K259" s="15"/>
      <c r="L259" s="11"/>
      <c r="M259" s="11"/>
      <c r="N259" s="17" t="str">
        <f aca="false">IF(OR(J259="",K259="",J259=0),"",(J259-K259)/J259)</f>
        <v/>
      </c>
      <c r="O259" s="11"/>
    </row>
    <row r="260" customFormat="false" ht="15" hidden="false" customHeight="false" outlineLevel="0" collapsed="false">
      <c r="A260" s="11"/>
      <c r="B260" s="11"/>
      <c r="C260" s="11"/>
      <c r="D260" s="11"/>
      <c r="E260" s="11"/>
      <c r="F260" s="11"/>
      <c r="G260" s="11"/>
      <c r="H260" s="11"/>
      <c r="I260" s="11"/>
      <c r="J260" s="15"/>
      <c r="K260" s="15"/>
      <c r="L260" s="11"/>
      <c r="M260" s="11"/>
      <c r="N260" s="17" t="str">
        <f aca="false">IF(OR(J260="",K260="",J260=0),"",(J260-K260)/J260)</f>
        <v/>
      </c>
      <c r="O260" s="11"/>
    </row>
    <row r="261" customFormat="false" ht="15" hidden="false" customHeight="false" outlineLevel="0" collapsed="false">
      <c r="A261" s="11"/>
      <c r="B261" s="11"/>
      <c r="C261" s="11"/>
      <c r="D261" s="11"/>
      <c r="E261" s="11"/>
      <c r="F261" s="11"/>
      <c r="G261" s="11"/>
      <c r="H261" s="11"/>
      <c r="I261" s="11"/>
      <c r="J261" s="15"/>
      <c r="K261" s="15"/>
      <c r="L261" s="11"/>
      <c r="M261" s="11"/>
      <c r="N261" s="17" t="str">
        <f aca="false">IF(OR(J261="",K261="",J261=0),"",(J261-K261)/J261)</f>
        <v/>
      </c>
      <c r="O261" s="11"/>
    </row>
    <row r="262" customFormat="false" ht="15" hidden="false" customHeight="false" outlineLevel="0" collapsed="false">
      <c r="A262" s="11"/>
      <c r="B262" s="11"/>
      <c r="C262" s="11"/>
      <c r="D262" s="11"/>
      <c r="E262" s="11"/>
      <c r="F262" s="11"/>
      <c r="G262" s="11"/>
      <c r="H262" s="11"/>
      <c r="I262" s="11"/>
      <c r="J262" s="15"/>
      <c r="K262" s="15"/>
      <c r="L262" s="11"/>
      <c r="M262" s="11"/>
      <c r="N262" s="17" t="str">
        <f aca="false">IF(OR(J262="",K262="",J262=0),"",(J262-K262)/J262)</f>
        <v/>
      </c>
      <c r="O262" s="11"/>
    </row>
    <row r="263" customFormat="false" ht="15" hidden="false" customHeight="false" outlineLevel="0" collapsed="false">
      <c r="A263" s="11"/>
      <c r="B263" s="11"/>
      <c r="C263" s="11"/>
      <c r="D263" s="11"/>
      <c r="E263" s="11"/>
      <c r="F263" s="11"/>
      <c r="G263" s="11"/>
      <c r="H263" s="11"/>
      <c r="I263" s="11"/>
      <c r="J263" s="15"/>
      <c r="K263" s="15"/>
      <c r="L263" s="11"/>
      <c r="M263" s="11"/>
      <c r="N263" s="17" t="str">
        <f aca="false">IF(OR(J263="",K263="",J263=0),"",(J263-K263)/J263)</f>
        <v/>
      </c>
      <c r="O263" s="11"/>
    </row>
    <row r="264" customFormat="false" ht="15" hidden="false" customHeight="false" outlineLevel="0" collapsed="false">
      <c r="A264" s="11"/>
      <c r="B264" s="11"/>
      <c r="C264" s="11"/>
      <c r="D264" s="11"/>
      <c r="E264" s="11"/>
      <c r="F264" s="11"/>
      <c r="G264" s="11"/>
      <c r="H264" s="11"/>
      <c r="I264" s="11"/>
      <c r="J264" s="15"/>
      <c r="K264" s="15"/>
      <c r="L264" s="11"/>
      <c r="M264" s="11"/>
      <c r="N264" s="17" t="str">
        <f aca="false">IF(OR(J264="",K264="",J264=0),"",(J264-K264)/J264)</f>
        <v/>
      </c>
      <c r="O264" s="11"/>
    </row>
    <row r="265" customFormat="false" ht="15" hidden="false" customHeight="false" outlineLevel="0" collapsed="false">
      <c r="A265" s="11"/>
      <c r="B265" s="11"/>
      <c r="C265" s="11"/>
      <c r="D265" s="11"/>
      <c r="E265" s="11"/>
      <c r="F265" s="11"/>
      <c r="G265" s="11"/>
      <c r="H265" s="11"/>
      <c r="I265" s="11"/>
      <c r="J265" s="15"/>
      <c r="K265" s="15"/>
      <c r="L265" s="11"/>
      <c r="M265" s="11"/>
      <c r="N265" s="17" t="str">
        <f aca="false">IF(OR(J265="",K265="",J265=0),"",(J265-K265)/J265)</f>
        <v/>
      </c>
      <c r="O265" s="11"/>
    </row>
    <row r="266" customFormat="false" ht="15" hidden="false" customHeight="false" outlineLevel="0" collapsed="false">
      <c r="A266" s="11"/>
      <c r="B266" s="11"/>
      <c r="C266" s="11"/>
      <c r="D266" s="11"/>
      <c r="E266" s="11"/>
      <c r="F266" s="11"/>
      <c r="G266" s="11"/>
      <c r="H266" s="11"/>
      <c r="I266" s="11"/>
      <c r="J266" s="15"/>
      <c r="K266" s="15"/>
      <c r="L266" s="11"/>
      <c r="M266" s="11"/>
      <c r="N266" s="17" t="str">
        <f aca="false">IF(OR(J266="",K266="",J266=0),"",(J266-K266)/J266)</f>
        <v/>
      </c>
      <c r="O266" s="11"/>
    </row>
    <row r="267" customFormat="false" ht="15" hidden="false" customHeight="false" outlineLevel="0" collapsed="false">
      <c r="A267" s="11"/>
      <c r="B267" s="11"/>
      <c r="C267" s="11"/>
      <c r="D267" s="11"/>
      <c r="E267" s="11"/>
      <c r="F267" s="11"/>
      <c r="G267" s="11"/>
      <c r="H267" s="11"/>
      <c r="I267" s="11"/>
      <c r="J267" s="15"/>
      <c r="K267" s="15"/>
      <c r="L267" s="11"/>
      <c r="M267" s="11"/>
      <c r="N267" s="17" t="str">
        <f aca="false">IF(OR(J267="",K267="",J267=0),"",(J267-K267)/J267)</f>
        <v/>
      </c>
      <c r="O267" s="11"/>
    </row>
    <row r="268" customFormat="false" ht="15" hidden="false" customHeight="false" outlineLevel="0" collapsed="false">
      <c r="A268" s="11"/>
      <c r="B268" s="11"/>
      <c r="C268" s="11"/>
      <c r="D268" s="11"/>
      <c r="E268" s="11"/>
      <c r="F268" s="11"/>
      <c r="G268" s="11"/>
      <c r="H268" s="11"/>
      <c r="I268" s="11"/>
      <c r="J268" s="15"/>
      <c r="K268" s="15"/>
      <c r="L268" s="11"/>
      <c r="M268" s="11"/>
      <c r="N268" s="17" t="str">
        <f aca="false">IF(OR(J268="",K268="",J268=0),"",(J268-K268)/J268)</f>
        <v/>
      </c>
      <c r="O268" s="11"/>
    </row>
    <row r="269" customFormat="false" ht="15" hidden="false" customHeight="false" outlineLevel="0" collapsed="false">
      <c r="A269" s="11"/>
      <c r="B269" s="11"/>
      <c r="C269" s="11"/>
      <c r="D269" s="11"/>
      <c r="E269" s="11"/>
      <c r="F269" s="11"/>
      <c r="G269" s="11"/>
      <c r="H269" s="11"/>
      <c r="I269" s="11"/>
      <c r="J269" s="15"/>
      <c r="K269" s="15"/>
      <c r="L269" s="11"/>
      <c r="M269" s="11"/>
      <c r="N269" s="17" t="str">
        <f aca="false">IF(OR(J269="",K269="",J269=0),"",(J269-K269)/J269)</f>
        <v/>
      </c>
      <c r="O269" s="11"/>
    </row>
    <row r="270" customFormat="false" ht="15" hidden="false" customHeight="false" outlineLevel="0" collapsed="false">
      <c r="A270" s="11"/>
      <c r="B270" s="11"/>
      <c r="C270" s="11"/>
      <c r="D270" s="11"/>
      <c r="E270" s="11"/>
      <c r="F270" s="11"/>
      <c r="G270" s="11"/>
      <c r="H270" s="11"/>
      <c r="I270" s="11"/>
      <c r="J270" s="15"/>
      <c r="K270" s="15"/>
      <c r="L270" s="11"/>
      <c r="M270" s="11"/>
      <c r="N270" s="17" t="str">
        <f aca="false">IF(OR(J270="",K270="",J270=0),"",(J270-K270)/J270)</f>
        <v/>
      </c>
      <c r="O270" s="11"/>
    </row>
    <row r="271" customFormat="false" ht="15" hidden="false" customHeight="false" outlineLevel="0" collapsed="false">
      <c r="A271" s="11"/>
      <c r="B271" s="11"/>
      <c r="C271" s="11"/>
      <c r="D271" s="11"/>
      <c r="E271" s="11"/>
      <c r="F271" s="11"/>
      <c r="G271" s="11"/>
      <c r="H271" s="11"/>
      <c r="I271" s="11"/>
      <c r="J271" s="15"/>
      <c r="K271" s="15"/>
      <c r="L271" s="11"/>
      <c r="M271" s="11"/>
      <c r="N271" s="17" t="str">
        <f aca="false">IF(OR(J271="",K271="",J271=0),"",(J271-K271)/J271)</f>
        <v/>
      </c>
      <c r="O271" s="11"/>
    </row>
    <row r="272" customFormat="false" ht="15" hidden="false" customHeight="false" outlineLevel="0" collapsed="false">
      <c r="A272" s="11"/>
      <c r="B272" s="11"/>
      <c r="C272" s="11"/>
      <c r="D272" s="11"/>
      <c r="E272" s="11"/>
      <c r="F272" s="11"/>
      <c r="G272" s="11"/>
      <c r="H272" s="11"/>
      <c r="I272" s="11"/>
      <c r="J272" s="15"/>
      <c r="K272" s="15"/>
      <c r="L272" s="11"/>
      <c r="M272" s="11"/>
      <c r="N272" s="17" t="str">
        <f aca="false">IF(OR(J272="",K272="",J272=0),"",(J272-K272)/J272)</f>
        <v/>
      </c>
      <c r="O272" s="11"/>
    </row>
    <row r="273" customFormat="false" ht="15" hidden="false" customHeight="false" outlineLevel="0" collapsed="false">
      <c r="A273" s="11"/>
      <c r="B273" s="11"/>
      <c r="C273" s="11"/>
      <c r="D273" s="11"/>
      <c r="E273" s="11"/>
      <c r="F273" s="11"/>
      <c r="G273" s="11"/>
      <c r="H273" s="11"/>
      <c r="I273" s="11"/>
      <c r="J273" s="15"/>
      <c r="K273" s="15"/>
      <c r="L273" s="11"/>
      <c r="M273" s="11"/>
      <c r="N273" s="17" t="str">
        <f aca="false">IF(OR(J273="",K273="",J273=0),"",(J273-K273)/J273)</f>
        <v/>
      </c>
      <c r="O273" s="11"/>
    </row>
    <row r="274" customFormat="false" ht="15" hidden="false" customHeight="false" outlineLevel="0" collapsed="false">
      <c r="A274" s="11"/>
      <c r="B274" s="11"/>
      <c r="C274" s="11"/>
      <c r="D274" s="11"/>
      <c r="E274" s="11"/>
      <c r="F274" s="11"/>
      <c r="G274" s="11"/>
      <c r="H274" s="11"/>
      <c r="I274" s="11"/>
      <c r="J274" s="15"/>
      <c r="K274" s="15"/>
      <c r="L274" s="11"/>
      <c r="M274" s="11"/>
      <c r="N274" s="17" t="str">
        <f aca="false">IF(OR(J274="",K274="",J274=0),"",(J274-K274)/J274)</f>
        <v/>
      </c>
      <c r="O274" s="11"/>
    </row>
    <row r="275" customFormat="false" ht="15" hidden="false" customHeight="false" outlineLevel="0" collapsed="false">
      <c r="A275" s="11"/>
      <c r="B275" s="11"/>
      <c r="C275" s="11"/>
      <c r="D275" s="11"/>
      <c r="E275" s="11"/>
      <c r="F275" s="11"/>
      <c r="G275" s="11"/>
      <c r="H275" s="11"/>
      <c r="I275" s="11"/>
      <c r="J275" s="15"/>
      <c r="K275" s="15"/>
      <c r="L275" s="11"/>
      <c r="M275" s="11"/>
      <c r="N275" s="17" t="str">
        <f aca="false">IF(OR(J275="",K275="",J275=0),"",(J275-K275)/J275)</f>
        <v/>
      </c>
      <c r="O275" s="11"/>
    </row>
    <row r="276" customFormat="false" ht="15" hidden="false" customHeight="false" outlineLevel="0" collapsed="false">
      <c r="A276" s="11"/>
      <c r="B276" s="11"/>
      <c r="C276" s="11"/>
      <c r="D276" s="11"/>
      <c r="E276" s="11"/>
      <c r="F276" s="11"/>
      <c r="G276" s="11"/>
      <c r="H276" s="11"/>
      <c r="I276" s="11"/>
      <c r="J276" s="15"/>
      <c r="K276" s="15"/>
      <c r="L276" s="11"/>
      <c r="M276" s="11"/>
      <c r="N276" s="17" t="str">
        <f aca="false">IF(OR(J276="",K276="",J276=0),"",(J276-K276)/J276)</f>
        <v/>
      </c>
      <c r="O276" s="11"/>
    </row>
    <row r="277" customFormat="false" ht="15" hidden="false" customHeight="false" outlineLevel="0" collapsed="false">
      <c r="A277" s="11"/>
      <c r="B277" s="11"/>
      <c r="C277" s="11"/>
      <c r="D277" s="11"/>
      <c r="E277" s="11"/>
      <c r="F277" s="11"/>
      <c r="G277" s="11"/>
      <c r="H277" s="11"/>
      <c r="I277" s="11"/>
      <c r="J277" s="15"/>
      <c r="K277" s="15"/>
      <c r="L277" s="11"/>
      <c r="M277" s="11"/>
      <c r="N277" s="17" t="str">
        <f aca="false">IF(OR(J277="",K277="",J277=0),"",(J277-K277)/J277)</f>
        <v/>
      </c>
      <c r="O277" s="11"/>
    </row>
    <row r="278" customFormat="false" ht="15" hidden="false" customHeight="false" outlineLevel="0" collapsed="false">
      <c r="A278" s="11"/>
      <c r="B278" s="11"/>
      <c r="C278" s="11"/>
      <c r="D278" s="11"/>
      <c r="E278" s="11"/>
      <c r="F278" s="11"/>
      <c r="G278" s="11"/>
      <c r="H278" s="11"/>
      <c r="I278" s="11"/>
      <c r="J278" s="15"/>
      <c r="K278" s="15"/>
      <c r="L278" s="11"/>
      <c r="M278" s="11"/>
      <c r="N278" s="17" t="str">
        <f aca="false">IF(OR(J278="",K278="",J278=0),"",(J278-K278)/J278)</f>
        <v/>
      </c>
      <c r="O278" s="11"/>
    </row>
    <row r="279" customFormat="false" ht="15" hidden="false" customHeight="false" outlineLevel="0" collapsed="false">
      <c r="A279" s="11"/>
      <c r="B279" s="11"/>
      <c r="C279" s="11"/>
      <c r="D279" s="11"/>
      <c r="E279" s="11"/>
      <c r="F279" s="11"/>
      <c r="G279" s="11"/>
      <c r="H279" s="11"/>
      <c r="I279" s="11"/>
      <c r="J279" s="15"/>
      <c r="K279" s="15"/>
      <c r="L279" s="11"/>
      <c r="M279" s="11"/>
      <c r="N279" s="17" t="str">
        <f aca="false">IF(OR(J279="",K279="",J279=0),"",(J279-K279)/J279)</f>
        <v/>
      </c>
      <c r="O279" s="11"/>
    </row>
    <row r="280" customFormat="false" ht="15" hidden="false" customHeight="false" outlineLevel="0" collapsed="false">
      <c r="A280" s="11"/>
      <c r="B280" s="11"/>
      <c r="C280" s="11"/>
      <c r="D280" s="11"/>
      <c r="E280" s="11"/>
      <c r="F280" s="11"/>
      <c r="G280" s="11"/>
      <c r="H280" s="11"/>
      <c r="I280" s="11"/>
      <c r="J280" s="15"/>
      <c r="K280" s="15"/>
      <c r="L280" s="11"/>
      <c r="M280" s="11"/>
      <c r="N280" s="17" t="str">
        <f aca="false">IF(OR(J280="",K280="",J280=0),"",(J280-K280)/J280)</f>
        <v/>
      </c>
      <c r="O280" s="11"/>
    </row>
    <row r="281" customFormat="false" ht="15" hidden="false" customHeight="false" outlineLevel="0" collapsed="false">
      <c r="A281" s="11"/>
      <c r="B281" s="11"/>
      <c r="C281" s="11"/>
      <c r="D281" s="11"/>
      <c r="E281" s="11"/>
      <c r="F281" s="11"/>
      <c r="G281" s="11"/>
      <c r="H281" s="11"/>
      <c r="I281" s="11"/>
      <c r="J281" s="15"/>
      <c r="K281" s="15"/>
      <c r="L281" s="11"/>
      <c r="M281" s="11"/>
      <c r="N281" s="17" t="str">
        <f aca="false">IF(OR(J281="",K281="",J281=0),"",(J281-K281)/J281)</f>
        <v/>
      </c>
      <c r="O281" s="11"/>
    </row>
    <row r="282" customFormat="false" ht="15" hidden="false" customHeight="false" outlineLevel="0" collapsed="false">
      <c r="A282" s="11"/>
      <c r="B282" s="11"/>
      <c r="C282" s="11"/>
      <c r="D282" s="11"/>
      <c r="E282" s="11"/>
      <c r="F282" s="11"/>
      <c r="G282" s="11"/>
      <c r="H282" s="11"/>
      <c r="I282" s="11"/>
      <c r="J282" s="15"/>
      <c r="K282" s="15"/>
      <c r="L282" s="11"/>
      <c r="M282" s="11"/>
      <c r="N282" s="17" t="str">
        <f aca="false">IF(OR(J282="",K282="",J282=0),"",(J282-K282)/J282)</f>
        <v/>
      </c>
      <c r="O282" s="11"/>
    </row>
    <row r="283" customFormat="false" ht="15" hidden="false" customHeight="false" outlineLevel="0" collapsed="false">
      <c r="A283" s="11"/>
      <c r="B283" s="11"/>
      <c r="C283" s="11"/>
      <c r="D283" s="11"/>
      <c r="E283" s="11"/>
      <c r="F283" s="11"/>
      <c r="G283" s="11"/>
      <c r="H283" s="11"/>
      <c r="I283" s="11"/>
      <c r="J283" s="15"/>
      <c r="K283" s="15"/>
      <c r="L283" s="11"/>
      <c r="M283" s="11"/>
      <c r="N283" s="17" t="str">
        <f aca="false">IF(OR(J283="",K283="",J283=0),"",(J283-K283)/J283)</f>
        <v/>
      </c>
      <c r="O283" s="11"/>
    </row>
    <row r="284" customFormat="false" ht="15" hidden="false" customHeight="false" outlineLevel="0" collapsed="false">
      <c r="A284" s="11"/>
      <c r="B284" s="11"/>
      <c r="C284" s="11"/>
      <c r="D284" s="11"/>
      <c r="E284" s="11"/>
      <c r="F284" s="11"/>
      <c r="G284" s="11"/>
      <c r="H284" s="11"/>
      <c r="I284" s="11"/>
      <c r="J284" s="15"/>
      <c r="K284" s="15"/>
      <c r="L284" s="11"/>
      <c r="M284" s="11"/>
      <c r="N284" s="17" t="str">
        <f aca="false">IF(OR(J284="",K284="",J284=0),"",(J284-K284)/J284)</f>
        <v/>
      </c>
      <c r="O284" s="11"/>
    </row>
    <row r="285" customFormat="false" ht="15" hidden="false" customHeight="false" outlineLevel="0" collapsed="false">
      <c r="A285" s="11"/>
      <c r="B285" s="11"/>
      <c r="C285" s="11"/>
      <c r="D285" s="11"/>
      <c r="E285" s="11"/>
      <c r="F285" s="11"/>
      <c r="G285" s="11"/>
      <c r="H285" s="11"/>
      <c r="I285" s="11"/>
      <c r="J285" s="15"/>
      <c r="K285" s="15"/>
      <c r="L285" s="11"/>
      <c r="M285" s="11"/>
      <c r="N285" s="17" t="str">
        <f aca="false">IF(OR(J285="",K285="",J285=0),"",(J285-K285)/J285)</f>
        <v/>
      </c>
      <c r="O285" s="11"/>
    </row>
    <row r="286" customFormat="false" ht="15" hidden="false" customHeight="false" outlineLevel="0" collapsed="false">
      <c r="A286" s="11"/>
      <c r="B286" s="11"/>
      <c r="C286" s="11"/>
      <c r="D286" s="11"/>
      <c r="E286" s="11"/>
      <c r="F286" s="11"/>
      <c r="G286" s="11"/>
      <c r="H286" s="11"/>
      <c r="I286" s="11"/>
      <c r="J286" s="15"/>
      <c r="K286" s="15"/>
      <c r="L286" s="11"/>
      <c r="M286" s="11"/>
      <c r="N286" s="17" t="str">
        <f aca="false">IF(OR(J286="",K286="",J286=0),"",(J286-K286)/J286)</f>
        <v/>
      </c>
      <c r="O286" s="11"/>
    </row>
    <row r="287" customFormat="false" ht="15" hidden="false" customHeight="false" outlineLevel="0" collapsed="false">
      <c r="A287" s="11"/>
      <c r="B287" s="11"/>
      <c r="C287" s="11"/>
      <c r="D287" s="11"/>
      <c r="E287" s="11"/>
      <c r="F287" s="11"/>
      <c r="G287" s="11"/>
      <c r="H287" s="11"/>
      <c r="I287" s="11"/>
      <c r="J287" s="15"/>
      <c r="K287" s="15"/>
      <c r="L287" s="11"/>
      <c r="M287" s="11"/>
      <c r="N287" s="17" t="str">
        <f aca="false">IF(OR(J287="",K287="",J287=0),"",(J287-K287)/J287)</f>
        <v/>
      </c>
      <c r="O287" s="11"/>
    </row>
    <row r="288" customFormat="false" ht="15" hidden="false" customHeight="false" outlineLevel="0" collapsed="false">
      <c r="A288" s="11"/>
      <c r="B288" s="11"/>
      <c r="C288" s="11"/>
      <c r="D288" s="11"/>
      <c r="E288" s="11"/>
      <c r="F288" s="11"/>
      <c r="G288" s="11"/>
      <c r="H288" s="11"/>
      <c r="I288" s="11"/>
      <c r="J288" s="15"/>
      <c r="K288" s="15"/>
      <c r="L288" s="11"/>
      <c r="M288" s="11"/>
      <c r="N288" s="17" t="str">
        <f aca="false">IF(OR(J288="",K288="",J288=0),"",(J288-K288)/J288)</f>
        <v/>
      </c>
      <c r="O288" s="11"/>
    </row>
    <row r="289" customFormat="false" ht="15" hidden="false" customHeight="false" outlineLevel="0" collapsed="false">
      <c r="A289" s="11"/>
      <c r="B289" s="11"/>
      <c r="C289" s="11"/>
      <c r="D289" s="11"/>
      <c r="E289" s="11"/>
      <c r="F289" s="11"/>
      <c r="G289" s="11"/>
      <c r="H289" s="11"/>
      <c r="I289" s="11"/>
      <c r="J289" s="15"/>
      <c r="K289" s="15"/>
      <c r="L289" s="11"/>
      <c r="M289" s="11"/>
      <c r="N289" s="17" t="str">
        <f aca="false">IF(OR(J289="",K289="",J289=0),"",(J289-K289)/J289)</f>
        <v/>
      </c>
      <c r="O289" s="11"/>
    </row>
    <row r="290" customFormat="false" ht="15" hidden="false" customHeight="false" outlineLevel="0" collapsed="false">
      <c r="A290" s="11"/>
      <c r="B290" s="11"/>
      <c r="C290" s="11"/>
      <c r="D290" s="11"/>
      <c r="E290" s="11"/>
      <c r="F290" s="11"/>
      <c r="G290" s="11"/>
      <c r="H290" s="11"/>
      <c r="I290" s="11"/>
      <c r="J290" s="15"/>
      <c r="K290" s="15"/>
      <c r="L290" s="11"/>
      <c r="M290" s="11"/>
      <c r="N290" s="17" t="str">
        <f aca="false">IF(OR(J290="",K290="",J290=0),"",(J290-K290)/J290)</f>
        <v/>
      </c>
      <c r="O290" s="11"/>
    </row>
    <row r="291" customFormat="false" ht="15" hidden="false" customHeight="false" outlineLevel="0" collapsed="false">
      <c r="A291" s="11"/>
      <c r="B291" s="11"/>
      <c r="C291" s="11"/>
      <c r="D291" s="11"/>
      <c r="E291" s="11"/>
      <c r="F291" s="11"/>
      <c r="G291" s="11"/>
      <c r="H291" s="11"/>
      <c r="I291" s="11"/>
      <c r="J291" s="15"/>
      <c r="K291" s="15"/>
      <c r="L291" s="11"/>
      <c r="M291" s="11"/>
      <c r="N291" s="17" t="str">
        <f aca="false">IF(OR(J291="",K291="",J291=0),"",(J291-K291)/J291)</f>
        <v/>
      </c>
      <c r="O291" s="11"/>
    </row>
    <row r="292" customFormat="false" ht="15" hidden="false" customHeight="false" outlineLevel="0" collapsed="false">
      <c r="A292" s="11"/>
      <c r="B292" s="11"/>
      <c r="C292" s="11"/>
      <c r="D292" s="11"/>
      <c r="E292" s="11"/>
      <c r="F292" s="11"/>
      <c r="G292" s="11"/>
      <c r="H292" s="11"/>
      <c r="I292" s="11"/>
      <c r="J292" s="15"/>
      <c r="K292" s="15"/>
      <c r="L292" s="11"/>
      <c r="M292" s="11"/>
      <c r="N292" s="17" t="str">
        <f aca="false">IF(OR(J292="",K292="",J292=0),"",(J292-K292)/J292)</f>
        <v/>
      </c>
      <c r="O292" s="11"/>
    </row>
    <row r="293" customFormat="false" ht="15" hidden="false" customHeight="false" outlineLevel="0" collapsed="false">
      <c r="A293" s="11"/>
      <c r="B293" s="11"/>
      <c r="C293" s="11"/>
      <c r="D293" s="11"/>
      <c r="E293" s="11"/>
      <c r="F293" s="11"/>
      <c r="G293" s="11"/>
      <c r="H293" s="11"/>
      <c r="I293" s="11"/>
      <c r="J293" s="15"/>
      <c r="K293" s="15"/>
      <c r="L293" s="11"/>
      <c r="M293" s="11"/>
      <c r="N293" s="17" t="str">
        <f aca="false">IF(OR(J293="",K293="",J293=0),"",(J293-K293)/J293)</f>
        <v/>
      </c>
      <c r="O293" s="11"/>
    </row>
    <row r="294" customFormat="false" ht="15" hidden="false" customHeight="false" outlineLevel="0" collapsed="false">
      <c r="A294" s="11"/>
      <c r="B294" s="11"/>
      <c r="C294" s="11"/>
      <c r="D294" s="11"/>
      <c r="E294" s="11"/>
      <c r="F294" s="11"/>
      <c r="G294" s="11"/>
      <c r="H294" s="11"/>
      <c r="I294" s="11"/>
      <c r="J294" s="15"/>
      <c r="K294" s="15"/>
      <c r="L294" s="11"/>
      <c r="M294" s="11"/>
      <c r="N294" s="17" t="str">
        <f aca="false">IF(OR(J294="",K294="",J294=0),"",(J294-K294)/J294)</f>
        <v/>
      </c>
      <c r="O294" s="11"/>
    </row>
    <row r="295" customFormat="false" ht="15" hidden="false" customHeight="false" outlineLevel="0" collapsed="false">
      <c r="A295" s="11"/>
      <c r="B295" s="11"/>
      <c r="C295" s="11"/>
      <c r="D295" s="11"/>
      <c r="E295" s="11"/>
      <c r="F295" s="11"/>
      <c r="G295" s="11"/>
      <c r="H295" s="11"/>
      <c r="I295" s="11"/>
      <c r="J295" s="15"/>
      <c r="K295" s="15"/>
      <c r="L295" s="11"/>
      <c r="M295" s="11"/>
      <c r="N295" s="17" t="str">
        <f aca="false">IF(OR(J295="",K295="",J295=0),"",(J295-K295)/J295)</f>
        <v/>
      </c>
      <c r="O295" s="11"/>
    </row>
    <row r="296" customFormat="false" ht="15" hidden="false" customHeight="false" outlineLevel="0" collapsed="false">
      <c r="A296" s="11"/>
      <c r="B296" s="11"/>
      <c r="C296" s="11"/>
      <c r="D296" s="11"/>
      <c r="E296" s="11"/>
      <c r="F296" s="11"/>
      <c r="G296" s="11"/>
      <c r="H296" s="11"/>
      <c r="I296" s="11"/>
      <c r="J296" s="15"/>
      <c r="K296" s="15"/>
      <c r="L296" s="11"/>
      <c r="M296" s="11"/>
      <c r="N296" s="17" t="str">
        <f aca="false">IF(OR(J296="",K296="",J296=0),"",(J296-K296)/J296)</f>
        <v/>
      </c>
      <c r="O296" s="11"/>
    </row>
    <row r="297" customFormat="false" ht="15" hidden="false" customHeight="false" outlineLevel="0" collapsed="false">
      <c r="A297" s="11"/>
      <c r="B297" s="11"/>
      <c r="C297" s="11"/>
      <c r="D297" s="11"/>
      <c r="E297" s="11"/>
      <c r="F297" s="11"/>
      <c r="G297" s="11"/>
      <c r="H297" s="11"/>
      <c r="I297" s="11"/>
      <c r="J297" s="15"/>
      <c r="K297" s="15"/>
      <c r="L297" s="11"/>
      <c r="M297" s="11"/>
      <c r="N297" s="17" t="str">
        <f aca="false">IF(OR(J297="",K297="",J297=0),"",(J297-K297)/J297)</f>
        <v/>
      </c>
      <c r="O297" s="11"/>
    </row>
    <row r="298" customFormat="false" ht="15" hidden="false" customHeight="false" outlineLevel="0" collapsed="false">
      <c r="A298" s="11"/>
      <c r="B298" s="11"/>
      <c r="C298" s="11"/>
      <c r="D298" s="11"/>
      <c r="E298" s="11"/>
      <c r="F298" s="11"/>
      <c r="G298" s="11"/>
      <c r="H298" s="11"/>
      <c r="I298" s="11"/>
      <c r="J298" s="15"/>
      <c r="K298" s="15"/>
      <c r="L298" s="11"/>
      <c r="M298" s="11"/>
      <c r="N298" s="17" t="str">
        <f aca="false">IF(OR(J298="",K298="",J298=0),"",(J298-K298)/J298)</f>
        <v/>
      </c>
      <c r="O298" s="11"/>
    </row>
    <row r="299" customFormat="false" ht="15" hidden="false" customHeight="false" outlineLevel="0" collapsed="false">
      <c r="A299" s="11"/>
      <c r="B299" s="11"/>
      <c r="C299" s="11"/>
      <c r="D299" s="11"/>
      <c r="E299" s="11"/>
      <c r="F299" s="11"/>
      <c r="G299" s="11"/>
      <c r="H299" s="11"/>
      <c r="I299" s="11"/>
      <c r="J299" s="15"/>
      <c r="K299" s="15"/>
      <c r="L299" s="11"/>
      <c r="M299" s="11"/>
      <c r="N299" s="17" t="str">
        <f aca="false">IF(OR(J299="",K299="",J299=0),"",(J299-K299)/J299)</f>
        <v/>
      </c>
      <c r="O299" s="11"/>
    </row>
    <row r="300" customFormat="false" ht="15" hidden="false" customHeight="false" outlineLevel="0" collapsed="false">
      <c r="A300" s="11"/>
      <c r="B300" s="11"/>
      <c r="C300" s="11"/>
      <c r="D300" s="11"/>
      <c r="E300" s="11"/>
      <c r="F300" s="11"/>
      <c r="G300" s="11"/>
      <c r="H300" s="11"/>
      <c r="I300" s="11"/>
      <c r="J300" s="15"/>
      <c r="K300" s="15"/>
      <c r="L300" s="11"/>
      <c r="M300" s="11"/>
      <c r="N300" s="17" t="str">
        <f aca="false">IF(OR(J300="",K300="",J300=0),"",(J300-K300)/J300)</f>
        <v/>
      </c>
      <c r="O300" s="11"/>
    </row>
    <row r="301" customFormat="false" ht="15" hidden="false" customHeight="false" outlineLevel="0" collapsed="false">
      <c r="A301" s="11"/>
      <c r="B301" s="11"/>
      <c r="C301" s="11"/>
      <c r="D301" s="11"/>
      <c r="E301" s="11"/>
      <c r="F301" s="11"/>
      <c r="G301" s="11"/>
      <c r="H301" s="11"/>
      <c r="I301" s="11"/>
      <c r="J301" s="15"/>
      <c r="K301" s="15"/>
      <c r="L301" s="11"/>
      <c r="M301" s="11"/>
      <c r="N301" s="17" t="str">
        <f aca="false">IF(OR(J301="",K301="",J301=0),"",(J301-K301)/J301)</f>
        <v/>
      </c>
      <c r="O301" s="11"/>
    </row>
    <row r="302" customFormat="false" ht="15" hidden="false" customHeight="false" outlineLevel="0" collapsed="false">
      <c r="A302" s="11"/>
      <c r="B302" s="11"/>
      <c r="C302" s="11"/>
      <c r="D302" s="11"/>
      <c r="E302" s="11"/>
      <c r="F302" s="11"/>
      <c r="G302" s="11"/>
      <c r="H302" s="11"/>
      <c r="I302" s="11"/>
      <c r="J302" s="15"/>
      <c r="K302" s="15"/>
      <c r="L302" s="11"/>
      <c r="M302" s="11"/>
      <c r="N302" s="17" t="str">
        <f aca="false">IF(OR(J302="",K302="",J302=0),"",(J302-K302)/J302)</f>
        <v/>
      </c>
      <c r="O302" s="11"/>
    </row>
    <row r="303" customFormat="false" ht="15" hidden="false" customHeight="false" outlineLevel="0" collapsed="false">
      <c r="A303" s="11"/>
      <c r="B303" s="11"/>
      <c r="C303" s="11"/>
      <c r="D303" s="11"/>
      <c r="E303" s="11"/>
      <c r="F303" s="11"/>
      <c r="G303" s="11"/>
      <c r="H303" s="11"/>
      <c r="I303" s="11"/>
      <c r="J303" s="15"/>
      <c r="K303" s="15"/>
      <c r="L303" s="11"/>
      <c r="M303" s="11"/>
      <c r="N303" s="17" t="str">
        <f aca="false">IF(OR(J303="",K303="",J303=0),"",(J303-K303)/J303)</f>
        <v/>
      </c>
      <c r="O303" s="11"/>
    </row>
    <row r="304" customFormat="false" ht="15" hidden="false" customHeight="false" outlineLevel="0" collapsed="false">
      <c r="A304" s="11"/>
      <c r="B304" s="11"/>
      <c r="C304" s="11"/>
      <c r="D304" s="11"/>
      <c r="E304" s="11"/>
      <c r="F304" s="11"/>
      <c r="G304" s="11"/>
      <c r="H304" s="11"/>
      <c r="I304" s="11"/>
      <c r="J304" s="15"/>
      <c r="K304" s="15"/>
      <c r="L304" s="11"/>
      <c r="M304" s="11"/>
      <c r="N304" s="17" t="str">
        <f aca="false">IF(OR(J304="",K304="",J304=0),"",(J304-K304)/J304)</f>
        <v/>
      </c>
      <c r="O304" s="11"/>
    </row>
    <row r="305" customFormat="false" ht="15" hidden="false" customHeight="false" outlineLevel="0" collapsed="false">
      <c r="A305" s="11"/>
      <c r="B305" s="11"/>
      <c r="C305" s="11"/>
      <c r="D305" s="11"/>
      <c r="E305" s="11"/>
      <c r="F305" s="11"/>
      <c r="G305" s="11"/>
      <c r="H305" s="11"/>
      <c r="I305" s="11"/>
      <c r="J305" s="15"/>
      <c r="K305" s="15"/>
      <c r="L305" s="11"/>
      <c r="M305" s="11"/>
      <c r="N305" s="17" t="str">
        <f aca="false">IF(OR(J305="",K305="",J305=0),"",(J305-K305)/J305)</f>
        <v/>
      </c>
      <c r="O305" s="11"/>
    </row>
    <row r="306" customFormat="false" ht="15" hidden="false" customHeight="false" outlineLevel="0" collapsed="false">
      <c r="A306" s="11"/>
      <c r="B306" s="11"/>
      <c r="C306" s="11"/>
      <c r="D306" s="11"/>
      <c r="E306" s="11"/>
      <c r="F306" s="11"/>
      <c r="G306" s="11"/>
      <c r="H306" s="11"/>
      <c r="I306" s="11"/>
      <c r="J306" s="15"/>
      <c r="K306" s="15"/>
      <c r="L306" s="11"/>
      <c r="M306" s="11"/>
      <c r="N306" s="17" t="str">
        <f aca="false">IF(OR(J306="",K306="",J306=0),"",(J306-K306)/J306)</f>
        <v/>
      </c>
      <c r="O306" s="11"/>
    </row>
    <row r="307" customFormat="false" ht="15" hidden="false" customHeight="false" outlineLevel="0" collapsed="false">
      <c r="A307" s="11"/>
      <c r="B307" s="11"/>
      <c r="C307" s="11"/>
      <c r="D307" s="11"/>
      <c r="E307" s="11"/>
      <c r="F307" s="11"/>
      <c r="G307" s="11"/>
      <c r="H307" s="11"/>
      <c r="I307" s="11"/>
      <c r="J307" s="15"/>
      <c r="K307" s="15"/>
      <c r="L307" s="11"/>
      <c r="M307" s="11"/>
      <c r="N307" s="17" t="str">
        <f aca="false">IF(OR(J307="",K307="",J307=0),"",(J307-K307)/J307)</f>
        <v/>
      </c>
      <c r="O307" s="11"/>
    </row>
    <row r="308" customFormat="false" ht="15" hidden="false" customHeight="false" outlineLevel="0" collapsed="false">
      <c r="A308" s="11"/>
      <c r="B308" s="11"/>
      <c r="C308" s="11"/>
      <c r="D308" s="11"/>
      <c r="E308" s="11"/>
      <c r="F308" s="11"/>
      <c r="G308" s="11"/>
      <c r="H308" s="11"/>
      <c r="I308" s="11"/>
      <c r="J308" s="15"/>
      <c r="K308" s="15"/>
      <c r="L308" s="11"/>
      <c r="M308" s="11"/>
      <c r="N308" s="17" t="str">
        <f aca="false">IF(OR(J308="",K308="",J308=0),"",(J308-K308)/J308)</f>
        <v/>
      </c>
      <c r="O308" s="11"/>
    </row>
    <row r="309" customFormat="false" ht="15" hidden="false" customHeight="false" outlineLevel="0" collapsed="false">
      <c r="A309" s="11"/>
      <c r="B309" s="11"/>
      <c r="C309" s="11"/>
      <c r="D309" s="11"/>
      <c r="E309" s="11"/>
      <c r="F309" s="11"/>
      <c r="G309" s="11"/>
      <c r="H309" s="11"/>
      <c r="I309" s="11"/>
      <c r="J309" s="15"/>
      <c r="K309" s="15"/>
      <c r="L309" s="11"/>
      <c r="M309" s="11"/>
      <c r="N309" s="17" t="str">
        <f aca="false">IF(OR(J309="",K309="",J309=0),"",(J309-K309)/J309)</f>
        <v/>
      </c>
      <c r="O309" s="11"/>
    </row>
    <row r="310" customFormat="false" ht="15" hidden="false" customHeight="false" outlineLevel="0" collapsed="false">
      <c r="A310" s="11"/>
      <c r="B310" s="11"/>
      <c r="C310" s="11"/>
      <c r="D310" s="11"/>
      <c r="E310" s="11"/>
      <c r="F310" s="11"/>
      <c r="G310" s="11"/>
      <c r="H310" s="11"/>
      <c r="I310" s="11"/>
      <c r="J310" s="15"/>
      <c r="K310" s="15"/>
      <c r="L310" s="11"/>
      <c r="M310" s="11"/>
      <c r="N310" s="17" t="str">
        <f aca="false">IF(OR(J310="",K310="",J310=0),"",(J310-K310)/J310)</f>
        <v/>
      </c>
      <c r="O310" s="11"/>
    </row>
    <row r="311" customFormat="false" ht="15" hidden="false" customHeight="false" outlineLevel="0" collapsed="false">
      <c r="A311" s="11"/>
      <c r="B311" s="11"/>
      <c r="C311" s="11"/>
      <c r="D311" s="11"/>
      <c r="E311" s="11"/>
      <c r="F311" s="11"/>
      <c r="G311" s="11"/>
      <c r="H311" s="11"/>
      <c r="I311" s="11"/>
      <c r="J311" s="15"/>
      <c r="K311" s="15"/>
      <c r="L311" s="11"/>
      <c r="M311" s="11"/>
      <c r="N311" s="17" t="str">
        <f aca="false">IF(OR(J311="",K311="",J311=0),"",(J311-K311)/J311)</f>
        <v/>
      </c>
      <c r="O311" s="11"/>
    </row>
    <row r="312" customFormat="false" ht="15" hidden="false" customHeight="false" outlineLevel="0" collapsed="false">
      <c r="A312" s="11"/>
      <c r="B312" s="11"/>
      <c r="C312" s="11"/>
      <c r="D312" s="11"/>
      <c r="E312" s="11"/>
      <c r="F312" s="11"/>
      <c r="G312" s="11"/>
      <c r="H312" s="11"/>
      <c r="I312" s="11"/>
      <c r="J312" s="15"/>
      <c r="K312" s="15"/>
      <c r="L312" s="11"/>
      <c r="M312" s="11"/>
      <c r="N312" s="17" t="str">
        <f aca="false">IF(OR(J312="",K312="",J312=0),"",(J312-K312)/J312)</f>
        <v/>
      </c>
      <c r="O312" s="11"/>
    </row>
    <row r="313" customFormat="false" ht="15" hidden="false" customHeight="false" outlineLevel="0" collapsed="false">
      <c r="A313" s="11"/>
      <c r="B313" s="11"/>
      <c r="C313" s="11"/>
      <c r="D313" s="11"/>
      <c r="E313" s="11"/>
      <c r="F313" s="11"/>
      <c r="G313" s="11"/>
      <c r="H313" s="11"/>
      <c r="I313" s="11"/>
      <c r="J313" s="15"/>
      <c r="K313" s="15"/>
      <c r="L313" s="11"/>
      <c r="M313" s="11"/>
      <c r="N313" s="17" t="str">
        <f aca="false">IF(OR(J313="",K313="",J313=0),"",(J313-K313)/J313)</f>
        <v/>
      </c>
      <c r="O313" s="11"/>
    </row>
    <row r="314" customFormat="false" ht="15" hidden="false" customHeight="false" outlineLevel="0" collapsed="false">
      <c r="A314" s="11"/>
      <c r="B314" s="11"/>
      <c r="C314" s="11"/>
      <c r="D314" s="11"/>
      <c r="E314" s="11"/>
      <c r="F314" s="11"/>
      <c r="G314" s="11"/>
      <c r="H314" s="11"/>
      <c r="I314" s="11"/>
      <c r="J314" s="15"/>
      <c r="K314" s="15"/>
      <c r="L314" s="11"/>
      <c r="M314" s="11"/>
      <c r="N314" s="17" t="str">
        <f aca="false">IF(OR(J314="",K314="",J314=0),"",(J314-K314)/J314)</f>
        <v/>
      </c>
      <c r="O314" s="11"/>
    </row>
    <row r="315" customFormat="false" ht="15" hidden="false" customHeight="false" outlineLevel="0" collapsed="false">
      <c r="A315" s="11"/>
      <c r="B315" s="11"/>
      <c r="C315" s="11"/>
      <c r="D315" s="11"/>
      <c r="E315" s="11"/>
      <c r="F315" s="11"/>
      <c r="G315" s="11"/>
      <c r="H315" s="11"/>
      <c r="I315" s="11"/>
      <c r="J315" s="15"/>
      <c r="K315" s="15"/>
      <c r="L315" s="11"/>
      <c r="M315" s="11"/>
      <c r="N315" s="17" t="str">
        <f aca="false">IF(OR(J315="",K315="",J315=0),"",(J315-K315)/J315)</f>
        <v/>
      </c>
      <c r="O315" s="11"/>
    </row>
    <row r="316" customFormat="false" ht="15" hidden="false" customHeight="false" outlineLevel="0" collapsed="false">
      <c r="A316" s="11"/>
      <c r="B316" s="11"/>
      <c r="C316" s="11"/>
      <c r="D316" s="11"/>
      <c r="E316" s="11"/>
      <c r="F316" s="11"/>
      <c r="G316" s="11"/>
      <c r="H316" s="11"/>
      <c r="I316" s="11"/>
      <c r="J316" s="15"/>
      <c r="K316" s="15"/>
      <c r="L316" s="11"/>
      <c r="M316" s="11"/>
      <c r="N316" s="17" t="str">
        <f aca="false">IF(OR(J316="",K316="",J316=0),"",(J316-K316)/J316)</f>
        <v/>
      </c>
      <c r="O316" s="11"/>
    </row>
    <row r="317" customFormat="false" ht="15" hidden="false" customHeight="false" outlineLevel="0" collapsed="false">
      <c r="A317" s="11"/>
      <c r="B317" s="11"/>
      <c r="C317" s="11"/>
      <c r="D317" s="11"/>
      <c r="E317" s="11"/>
      <c r="F317" s="11"/>
      <c r="G317" s="11"/>
      <c r="H317" s="11"/>
      <c r="I317" s="11"/>
      <c r="J317" s="15"/>
      <c r="K317" s="15"/>
      <c r="L317" s="11"/>
      <c r="M317" s="11"/>
      <c r="N317" s="17" t="str">
        <f aca="false">IF(OR(J317="",K317="",J317=0),"",(J317-K317)/J317)</f>
        <v/>
      </c>
      <c r="O317" s="11"/>
    </row>
    <row r="318" customFormat="false" ht="15" hidden="false" customHeight="false" outlineLevel="0" collapsed="false">
      <c r="A318" s="11"/>
      <c r="B318" s="11"/>
      <c r="C318" s="11"/>
      <c r="D318" s="11"/>
      <c r="E318" s="11"/>
      <c r="F318" s="11"/>
      <c r="G318" s="11"/>
      <c r="H318" s="11"/>
      <c r="I318" s="11"/>
      <c r="J318" s="15"/>
      <c r="K318" s="15"/>
      <c r="L318" s="11"/>
      <c r="M318" s="11"/>
      <c r="N318" s="17" t="str">
        <f aca="false">IF(OR(J318="",K318="",J318=0),"",(J318-K318)/J318)</f>
        <v/>
      </c>
      <c r="O318" s="11"/>
    </row>
    <row r="319" customFormat="false" ht="15" hidden="false" customHeight="false" outlineLevel="0" collapsed="false">
      <c r="A319" s="11"/>
      <c r="B319" s="11"/>
      <c r="C319" s="11"/>
      <c r="D319" s="11"/>
      <c r="E319" s="11"/>
      <c r="F319" s="11"/>
      <c r="G319" s="11"/>
      <c r="H319" s="11"/>
      <c r="I319" s="11"/>
      <c r="J319" s="15"/>
      <c r="K319" s="15"/>
      <c r="L319" s="11"/>
      <c r="M319" s="11"/>
      <c r="N319" s="17" t="str">
        <f aca="false">IF(OR(J319="",K319="",J319=0),"",(J319-K319)/J319)</f>
        <v/>
      </c>
      <c r="O319" s="11"/>
    </row>
    <row r="320" customFormat="false" ht="15" hidden="false" customHeight="false" outlineLevel="0" collapsed="false">
      <c r="A320" s="11"/>
      <c r="B320" s="11"/>
      <c r="C320" s="11"/>
      <c r="D320" s="11"/>
      <c r="E320" s="11"/>
      <c r="F320" s="11"/>
      <c r="G320" s="11"/>
      <c r="H320" s="11"/>
      <c r="I320" s="11"/>
      <c r="J320" s="15"/>
      <c r="K320" s="15"/>
      <c r="L320" s="11"/>
      <c r="M320" s="11"/>
      <c r="N320" s="17" t="str">
        <f aca="false">IF(OR(J320="",K320="",J320=0),"",(J320-K320)/J320)</f>
        <v/>
      </c>
      <c r="O320" s="11"/>
    </row>
    <row r="321" customFormat="false" ht="15" hidden="false" customHeight="false" outlineLevel="0" collapsed="false">
      <c r="A321" s="11"/>
      <c r="B321" s="11"/>
      <c r="C321" s="11"/>
      <c r="D321" s="11"/>
      <c r="E321" s="11"/>
      <c r="F321" s="11"/>
      <c r="G321" s="11"/>
      <c r="H321" s="11"/>
      <c r="I321" s="11"/>
      <c r="J321" s="15"/>
      <c r="K321" s="15"/>
      <c r="L321" s="11"/>
      <c r="M321" s="11"/>
      <c r="N321" s="17" t="str">
        <f aca="false">IF(OR(J321="",K321="",J321=0),"",(J321-K321)/J321)</f>
        <v/>
      </c>
      <c r="O321" s="11"/>
    </row>
    <row r="322" customFormat="false" ht="15" hidden="false" customHeight="false" outlineLevel="0" collapsed="false">
      <c r="A322" s="11"/>
      <c r="B322" s="11"/>
      <c r="C322" s="11"/>
      <c r="D322" s="11"/>
      <c r="E322" s="11"/>
      <c r="F322" s="11"/>
      <c r="G322" s="11"/>
      <c r="H322" s="11"/>
      <c r="I322" s="11"/>
      <c r="J322" s="15"/>
      <c r="K322" s="15"/>
      <c r="L322" s="11"/>
      <c r="M322" s="11"/>
      <c r="N322" s="17" t="str">
        <f aca="false">IF(OR(J322="",K322="",J322=0),"",(J322-K322)/J322)</f>
        <v/>
      </c>
      <c r="O322" s="11"/>
    </row>
    <row r="323" customFormat="false" ht="15" hidden="false" customHeight="false" outlineLevel="0" collapsed="false">
      <c r="A323" s="11"/>
      <c r="B323" s="11"/>
      <c r="C323" s="11"/>
      <c r="D323" s="11"/>
      <c r="E323" s="11"/>
      <c r="F323" s="11"/>
      <c r="G323" s="11"/>
      <c r="H323" s="11"/>
      <c r="I323" s="11"/>
      <c r="J323" s="15"/>
      <c r="K323" s="15"/>
      <c r="L323" s="11"/>
      <c r="M323" s="11"/>
      <c r="N323" s="17" t="str">
        <f aca="false">IF(OR(J323="",K323="",J323=0),"",(J323-K323)/J323)</f>
        <v/>
      </c>
      <c r="O323" s="11"/>
    </row>
    <row r="324" customFormat="false" ht="15" hidden="false" customHeight="false" outlineLevel="0" collapsed="false">
      <c r="A324" s="11"/>
      <c r="B324" s="11"/>
      <c r="C324" s="11"/>
      <c r="D324" s="11"/>
      <c r="E324" s="11"/>
      <c r="F324" s="11"/>
      <c r="G324" s="11"/>
      <c r="H324" s="11"/>
      <c r="I324" s="11"/>
      <c r="J324" s="15"/>
      <c r="K324" s="15"/>
      <c r="L324" s="11"/>
      <c r="M324" s="11"/>
      <c r="N324" s="17" t="str">
        <f aca="false">IF(OR(J324="",K324="",J324=0),"",(J324-K324)/J324)</f>
        <v/>
      </c>
      <c r="O324" s="11"/>
    </row>
    <row r="325" customFormat="false" ht="15" hidden="false" customHeight="false" outlineLevel="0" collapsed="false">
      <c r="A325" s="11"/>
      <c r="B325" s="11"/>
      <c r="C325" s="11"/>
      <c r="D325" s="11"/>
      <c r="E325" s="11"/>
      <c r="F325" s="11"/>
      <c r="G325" s="11"/>
      <c r="H325" s="11"/>
      <c r="I325" s="11"/>
      <c r="J325" s="15"/>
      <c r="K325" s="15"/>
      <c r="L325" s="11"/>
      <c r="M325" s="11"/>
      <c r="N325" s="17" t="str">
        <f aca="false">IF(OR(J325="",K325="",J325=0),"",(J325-K325)/J325)</f>
        <v/>
      </c>
      <c r="O325" s="11"/>
    </row>
    <row r="326" customFormat="false" ht="15" hidden="false" customHeight="false" outlineLevel="0" collapsed="false">
      <c r="A326" s="11"/>
      <c r="B326" s="11"/>
      <c r="C326" s="11"/>
      <c r="D326" s="11"/>
      <c r="E326" s="11"/>
      <c r="F326" s="11"/>
      <c r="G326" s="11"/>
      <c r="H326" s="11"/>
      <c r="I326" s="11"/>
      <c r="J326" s="15"/>
      <c r="K326" s="15"/>
      <c r="L326" s="11"/>
      <c r="M326" s="11"/>
      <c r="N326" s="17" t="str">
        <f aca="false">IF(OR(J326="",K326="",J326=0),"",(J326-K326)/J326)</f>
        <v/>
      </c>
      <c r="O326" s="11"/>
    </row>
    <row r="327" customFormat="false" ht="15" hidden="false" customHeight="false" outlineLevel="0" collapsed="false">
      <c r="A327" s="11"/>
      <c r="B327" s="11"/>
      <c r="C327" s="11"/>
      <c r="D327" s="11"/>
      <c r="E327" s="11"/>
      <c r="F327" s="11"/>
      <c r="G327" s="11"/>
      <c r="H327" s="11"/>
      <c r="I327" s="11"/>
      <c r="J327" s="15"/>
      <c r="K327" s="15"/>
      <c r="L327" s="11"/>
      <c r="M327" s="11"/>
      <c r="N327" s="17" t="str">
        <f aca="false">IF(OR(J327="",K327="",J327=0),"",(J327-K327)/J327)</f>
        <v/>
      </c>
      <c r="O327" s="11"/>
    </row>
    <row r="328" customFormat="false" ht="15" hidden="false" customHeight="false" outlineLevel="0" collapsed="false">
      <c r="A328" s="11"/>
      <c r="B328" s="11"/>
      <c r="C328" s="11"/>
      <c r="D328" s="11"/>
      <c r="E328" s="11"/>
      <c r="F328" s="11"/>
      <c r="G328" s="11"/>
      <c r="H328" s="11"/>
      <c r="I328" s="11"/>
      <c r="J328" s="15"/>
      <c r="K328" s="15"/>
      <c r="L328" s="11"/>
      <c r="M328" s="11"/>
      <c r="N328" s="17" t="str">
        <f aca="false">IF(OR(J328="",K328="",J328=0),"",(J328-K328)/J328)</f>
        <v/>
      </c>
      <c r="O328" s="11"/>
    </row>
    <row r="329" customFormat="false" ht="15" hidden="false" customHeight="false" outlineLevel="0" collapsed="false">
      <c r="A329" s="11"/>
      <c r="B329" s="11"/>
      <c r="C329" s="11"/>
      <c r="D329" s="11"/>
      <c r="E329" s="11"/>
      <c r="F329" s="11"/>
      <c r="G329" s="11"/>
      <c r="H329" s="11"/>
      <c r="I329" s="11"/>
      <c r="J329" s="15"/>
      <c r="K329" s="15"/>
      <c r="L329" s="11"/>
      <c r="M329" s="11"/>
      <c r="N329" s="17" t="str">
        <f aca="false">IF(OR(J329="",K329="",J329=0),"",(J329-K329)/J329)</f>
        <v/>
      </c>
      <c r="O329" s="11"/>
    </row>
    <row r="330" customFormat="false" ht="15" hidden="false" customHeight="false" outlineLevel="0" collapsed="false">
      <c r="A330" s="11"/>
      <c r="B330" s="11"/>
      <c r="C330" s="11"/>
      <c r="D330" s="11"/>
      <c r="E330" s="11"/>
      <c r="F330" s="11"/>
      <c r="G330" s="11"/>
      <c r="H330" s="11"/>
      <c r="I330" s="11"/>
      <c r="J330" s="15"/>
      <c r="K330" s="15"/>
      <c r="L330" s="11"/>
      <c r="M330" s="11"/>
      <c r="N330" s="17" t="str">
        <f aca="false">IF(OR(J330="",K330="",J330=0),"",(J330-K330)/J330)</f>
        <v/>
      </c>
      <c r="O330" s="11"/>
    </row>
    <row r="331" customFormat="false" ht="15" hidden="false" customHeight="false" outlineLevel="0" collapsed="false">
      <c r="A331" s="11"/>
      <c r="B331" s="11"/>
      <c r="C331" s="11"/>
      <c r="D331" s="11"/>
      <c r="E331" s="11"/>
      <c r="F331" s="11"/>
      <c r="G331" s="11"/>
      <c r="H331" s="11"/>
      <c r="I331" s="11"/>
      <c r="J331" s="15"/>
      <c r="K331" s="15"/>
      <c r="L331" s="11"/>
      <c r="M331" s="11"/>
      <c r="N331" s="17" t="str">
        <f aca="false">IF(OR(J331="",K331="",J331=0),"",(J331-K331)/J331)</f>
        <v/>
      </c>
      <c r="O331" s="11"/>
    </row>
    <row r="332" customFormat="false" ht="15" hidden="false" customHeight="false" outlineLevel="0" collapsed="false">
      <c r="A332" s="11"/>
      <c r="B332" s="11"/>
      <c r="C332" s="11"/>
      <c r="D332" s="11"/>
      <c r="E332" s="11"/>
      <c r="F332" s="11"/>
      <c r="G332" s="11"/>
      <c r="H332" s="11"/>
      <c r="I332" s="11"/>
      <c r="J332" s="15"/>
      <c r="K332" s="15"/>
      <c r="L332" s="11"/>
      <c r="M332" s="11"/>
      <c r="N332" s="17" t="str">
        <f aca="false">IF(OR(J332="",K332="",J332=0),"",(J332-K332)/J332)</f>
        <v/>
      </c>
      <c r="O332" s="11"/>
    </row>
    <row r="333" customFormat="false" ht="15" hidden="false" customHeight="false" outlineLevel="0" collapsed="false">
      <c r="A333" s="11"/>
      <c r="B333" s="11"/>
      <c r="C333" s="11"/>
      <c r="D333" s="11"/>
      <c r="E333" s="11"/>
      <c r="F333" s="11"/>
      <c r="G333" s="11"/>
      <c r="H333" s="11"/>
      <c r="I333" s="11"/>
      <c r="J333" s="15"/>
      <c r="K333" s="15"/>
      <c r="L333" s="11"/>
      <c r="M333" s="11"/>
      <c r="N333" s="17" t="str">
        <f aca="false">IF(OR(J333="",K333="",J333=0),"",(J333-K333)/J333)</f>
        <v/>
      </c>
      <c r="O333" s="11"/>
    </row>
    <row r="334" customFormat="false" ht="15" hidden="false" customHeight="false" outlineLevel="0" collapsed="false">
      <c r="A334" s="11"/>
      <c r="B334" s="11"/>
      <c r="C334" s="11"/>
      <c r="D334" s="11"/>
      <c r="E334" s="11"/>
      <c r="F334" s="11"/>
      <c r="G334" s="11"/>
      <c r="H334" s="11"/>
      <c r="I334" s="11"/>
      <c r="J334" s="15"/>
      <c r="K334" s="15"/>
      <c r="L334" s="11"/>
      <c r="M334" s="11"/>
      <c r="N334" s="17" t="str">
        <f aca="false">IF(OR(J334="",K334="",J334=0),"",(J334-K334)/J334)</f>
        <v/>
      </c>
      <c r="O334" s="11"/>
    </row>
    <row r="335" customFormat="false" ht="15" hidden="false" customHeight="false" outlineLevel="0" collapsed="false">
      <c r="A335" s="11"/>
      <c r="B335" s="11"/>
      <c r="C335" s="11"/>
      <c r="D335" s="11"/>
      <c r="E335" s="11"/>
      <c r="F335" s="11"/>
      <c r="G335" s="11"/>
      <c r="H335" s="11"/>
      <c r="I335" s="11"/>
      <c r="J335" s="15"/>
      <c r="K335" s="15"/>
      <c r="L335" s="11"/>
      <c r="M335" s="11"/>
      <c r="N335" s="17" t="str">
        <f aca="false">IF(OR(J335="",K335="",J335=0),"",(J335-K335)/J335)</f>
        <v/>
      </c>
      <c r="O335" s="11"/>
    </row>
    <row r="336" customFormat="false" ht="15" hidden="false" customHeight="false" outlineLevel="0" collapsed="false">
      <c r="A336" s="11"/>
      <c r="B336" s="11"/>
      <c r="C336" s="11"/>
      <c r="D336" s="11"/>
      <c r="E336" s="11"/>
      <c r="F336" s="11"/>
      <c r="G336" s="11"/>
      <c r="H336" s="11"/>
      <c r="I336" s="11"/>
      <c r="J336" s="15"/>
      <c r="K336" s="15"/>
      <c r="L336" s="11"/>
      <c r="M336" s="11"/>
      <c r="N336" s="17" t="str">
        <f aca="false">IF(OR(J336="",K336="",J336=0),"",(J336-K336)/J336)</f>
        <v/>
      </c>
      <c r="O336" s="11"/>
    </row>
    <row r="337" customFormat="false" ht="15" hidden="false" customHeight="false" outlineLevel="0" collapsed="false">
      <c r="A337" s="11"/>
      <c r="B337" s="11"/>
      <c r="C337" s="11"/>
      <c r="D337" s="11"/>
      <c r="E337" s="11"/>
      <c r="F337" s="11"/>
      <c r="G337" s="11"/>
      <c r="H337" s="11"/>
      <c r="I337" s="11"/>
      <c r="J337" s="15"/>
      <c r="K337" s="15"/>
      <c r="L337" s="11"/>
      <c r="M337" s="11"/>
      <c r="N337" s="17" t="str">
        <f aca="false">IF(OR(J337="",K337="",J337=0),"",(J337-K337)/J337)</f>
        <v/>
      </c>
      <c r="O337" s="11"/>
    </row>
    <row r="338" customFormat="false" ht="15" hidden="false" customHeight="false" outlineLevel="0" collapsed="false">
      <c r="A338" s="11"/>
      <c r="B338" s="11"/>
      <c r="C338" s="11"/>
      <c r="D338" s="11"/>
      <c r="E338" s="11"/>
      <c r="F338" s="11"/>
      <c r="G338" s="11"/>
      <c r="H338" s="11"/>
      <c r="I338" s="11"/>
      <c r="J338" s="15"/>
      <c r="K338" s="15"/>
      <c r="L338" s="11"/>
      <c r="M338" s="11"/>
      <c r="N338" s="17" t="str">
        <f aca="false">IF(OR(J338="",K338="",J338=0),"",(J338-K338)/J338)</f>
        <v/>
      </c>
      <c r="O338" s="11"/>
    </row>
    <row r="339" customFormat="false" ht="15" hidden="false" customHeight="false" outlineLevel="0" collapsed="false">
      <c r="A339" s="11"/>
      <c r="B339" s="11"/>
      <c r="C339" s="11"/>
      <c r="D339" s="11"/>
      <c r="E339" s="11"/>
      <c r="F339" s="11"/>
      <c r="G339" s="11"/>
      <c r="H339" s="11"/>
      <c r="I339" s="11"/>
      <c r="J339" s="15"/>
      <c r="K339" s="15"/>
      <c r="L339" s="11"/>
      <c r="M339" s="11"/>
      <c r="N339" s="17" t="str">
        <f aca="false">IF(OR(J339="",K339="",J339=0),"",(J339-K339)/J339)</f>
        <v/>
      </c>
      <c r="O339" s="11"/>
    </row>
    <row r="340" customFormat="false" ht="15" hidden="false" customHeight="false" outlineLevel="0" collapsed="false">
      <c r="A340" s="11"/>
      <c r="B340" s="11"/>
      <c r="C340" s="11"/>
      <c r="D340" s="11"/>
      <c r="E340" s="11"/>
      <c r="F340" s="11"/>
      <c r="G340" s="11"/>
      <c r="H340" s="11"/>
      <c r="I340" s="11"/>
      <c r="J340" s="15"/>
      <c r="K340" s="15"/>
      <c r="L340" s="11"/>
      <c r="M340" s="11"/>
      <c r="N340" s="17" t="str">
        <f aca="false">IF(OR(J340="",K340="",J340=0),"",(J340-K340)/J340)</f>
        <v/>
      </c>
      <c r="O340" s="11"/>
    </row>
    <row r="341" customFormat="false" ht="15" hidden="false" customHeight="false" outlineLevel="0" collapsed="false">
      <c r="A341" s="11"/>
      <c r="B341" s="11"/>
      <c r="C341" s="11"/>
      <c r="D341" s="11"/>
      <c r="E341" s="11"/>
      <c r="F341" s="11"/>
      <c r="G341" s="11"/>
      <c r="H341" s="11"/>
      <c r="I341" s="11"/>
      <c r="J341" s="15"/>
      <c r="K341" s="15"/>
      <c r="L341" s="11"/>
      <c r="M341" s="11"/>
      <c r="N341" s="17" t="str">
        <f aca="false">IF(OR(J341="",K341="",J341=0),"",(J341-K341)/J341)</f>
        <v/>
      </c>
      <c r="O341" s="11"/>
    </row>
    <row r="342" customFormat="false" ht="15" hidden="false" customHeight="false" outlineLevel="0" collapsed="false">
      <c r="A342" s="11"/>
      <c r="B342" s="11"/>
      <c r="C342" s="11"/>
      <c r="D342" s="11"/>
      <c r="E342" s="11"/>
      <c r="F342" s="11"/>
      <c r="G342" s="11"/>
      <c r="H342" s="11"/>
      <c r="I342" s="11"/>
      <c r="J342" s="15"/>
      <c r="K342" s="15"/>
      <c r="L342" s="11"/>
      <c r="M342" s="11"/>
      <c r="N342" s="17" t="str">
        <f aca="false">IF(OR(J342="",K342="",J342=0),"",(J342-K342)/J342)</f>
        <v/>
      </c>
      <c r="O342" s="11"/>
    </row>
    <row r="343" customFormat="false" ht="15" hidden="false" customHeight="false" outlineLevel="0" collapsed="false">
      <c r="A343" s="11"/>
      <c r="B343" s="11"/>
      <c r="C343" s="11"/>
      <c r="D343" s="11"/>
      <c r="E343" s="11"/>
      <c r="F343" s="11"/>
      <c r="G343" s="11"/>
      <c r="H343" s="11"/>
      <c r="I343" s="11"/>
      <c r="J343" s="15"/>
      <c r="K343" s="15"/>
      <c r="L343" s="11"/>
      <c r="M343" s="11"/>
      <c r="N343" s="17" t="str">
        <f aca="false">IF(OR(J343="",K343="",J343=0),"",(J343-K343)/J343)</f>
        <v/>
      </c>
      <c r="O343" s="11"/>
    </row>
    <row r="344" customFormat="false" ht="15" hidden="false" customHeight="false" outlineLevel="0" collapsed="false">
      <c r="A344" s="11"/>
      <c r="B344" s="11"/>
      <c r="C344" s="11"/>
      <c r="D344" s="11"/>
      <c r="E344" s="11"/>
      <c r="F344" s="11"/>
      <c r="G344" s="11"/>
      <c r="H344" s="11"/>
      <c r="I344" s="11"/>
      <c r="J344" s="15"/>
      <c r="K344" s="15"/>
      <c r="L344" s="11"/>
      <c r="M344" s="11"/>
      <c r="N344" s="17" t="str">
        <f aca="false">IF(OR(J344="",K344="",J344=0),"",(J344-K344)/J344)</f>
        <v/>
      </c>
      <c r="O344" s="11"/>
    </row>
    <row r="345" customFormat="false" ht="15" hidden="false" customHeight="false" outlineLevel="0" collapsed="false">
      <c r="A345" s="11"/>
      <c r="B345" s="11"/>
      <c r="C345" s="11"/>
      <c r="D345" s="11"/>
      <c r="E345" s="11"/>
      <c r="F345" s="11"/>
      <c r="G345" s="11"/>
      <c r="H345" s="11"/>
      <c r="I345" s="11"/>
      <c r="J345" s="15"/>
      <c r="K345" s="15"/>
      <c r="L345" s="11"/>
      <c r="M345" s="11"/>
      <c r="N345" s="17" t="str">
        <f aca="false">IF(OR(J345="",K345="",J345=0),"",(J345-K345)/J345)</f>
        <v/>
      </c>
      <c r="O345" s="11"/>
    </row>
    <row r="346" customFormat="false" ht="15" hidden="false" customHeight="false" outlineLevel="0" collapsed="false">
      <c r="A346" s="11"/>
      <c r="B346" s="11"/>
      <c r="C346" s="11"/>
      <c r="D346" s="11"/>
      <c r="E346" s="11"/>
      <c r="F346" s="11"/>
      <c r="G346" s="11"/>
      <c r="H346" s="11"/>
      <c r="I346" s="11"/>
      <c r="J346" s="15"/>
      <c r="K346" s="15"/>
      <c r="L346" s="11"/>
      <c r="M346" s="11"/>
      <c r="N346" s="17" t="str">
        <f aca="false">IF(OR(J346="",K346="",J346=0),"",(J346-K346)/J346)</f>
        <v/>
      </c>
      <c r="O346" s="11"/>
    </row>
    <row r="347" customFormat="false" ht="15" hidden="false" customHeight="false" outlineLevel="0" collapsed="false">
      <c r="A347" s="11"/>
      <c r="B347" s="11"/>
      <c r="C347" s="11"/>
      <c r="D347" s="11"/>
      <c r="E347" s="11"/>
      <c r="F347" s="11"/>
      <c r="G347" s="11"/>
      <c r="H347" s="11"/>
      <c r="I347" s="11"/>
      <c r="J347" s="15"/>
      <c r="K347" s="15"/>
      <c r="L347" s="11"/>
      <c r="M347" s="11"/>
      <c r="N347" s="17" t="str">
        <f aca="false">IF(OR(J347="",K347="",J347=0),"",(J347-K347)/J347)</f>
        <v/>
      </c>
      <c r="O347" s="11"/>
    </row>
    <row r="348" customFormat="false" ht="15" hidden="false" customHeight="false" outlineLevel="0" collapsed="false">
      <c r="A348" s="11"/>
      <c r="B348" s="11"/>
      <c r="C348" s="11"/>
      <c r="D348" s="11"/>
      <c r="E348" s="11"/>
      <c r="F348" s="11"/>
      <c r="G348" s="11"/>
      <c r="H348" s="11"/>
      <c r="I348" s="11"/>
      <c r="J348" s="15"/>
      <c r="K348" s="15"/>
      <c r="L348" s="11"/>
      <c r="M348" s="11"/>
      <c r="N348" s="17" t="str">
        <f aca="false">IF(OR(J348="",K348="",J348=0),"",(J348-K348)/J348)</f>
        <v/>
      </c>
      <c r="O348" s="11"/>
    </row>
    <row r="349" customFormat="false" ht="15" hidden="false" customHeight="false" outlineLevel="0" collapsed="false">
      <c r="A349" s="11"/>
      <c r="B349" s="11"/>
      <c r="C349" s="11"/>
      <c r="D349" s="11"/>
      <c r="E349" s="11"/>
      <c r="F349" s="11"/>
      <c r="G349" s="11"/>
      <c r="H349" s="11"/>
      <c r="I349" s="11"/>
      <c r="J349" s="15"/>
      <c r="K349" s="15"/>
      <c r="L349" s="11"/>
      <c r="M349" s="11"/>
      <c r="N349" s="17" t="str">
        <f aca="false">IF(OR(J349="",K349="",J349=0),"",(J349-K349)/J349)</f>
        <v/>
      </c>
      <c r="O349" s="11"/>
    </row>
    <row r="350" customFormat="false" ht="15" hidden="false" customHeight="false" outlineLevel="0" collapsed="false">
      <c r="A350" s="11"/>
      <c r="B350" s="11"/>
      <c r="C350" s="11"/>
      <c r="D350" s="11"/>
      <c r="E350" s="11"/>
      <c r="F350" s="11"/>
      <c r="G350" s="11"/>
      <c r="H350" s="11"/>
      <c r="I350" s="11"/>
      <c r="J350" s="15"/>
      <c r="K350" s="15"/>
      <c r="L350" s="11"/>
      <c r="M350" s="11"/>
      <c r="N350" s="17" t="str">
        <f aca="false">IF(OR(J350="",K350="",J350=0),"",(J350-K350)/J350)</f>
        <v/>
      </c>
      <c r="O350" s="11"/>
    </row>
    <row r="351" customFormat="false" ht="15" hidden="false" customHeight="false" outlineLevel="0" collapsed="false">
      <c r="A351" s="11"/>
      <c r="B351" s="11"/>
      <c r="C351" s="11"/>
      <c r="D351" s="11"/>
      <c r="E351" s="11"/>
      <c r="F351" s="11"/>
      <c r="G351" s="11"/>
      <c r="H351" s="11"/>
      <c r="I351" s="11"/>
      <c r="J351" s="15"/>
      <c r="K351" s="15"/>
      <c r="L351" s="11"/>
      <c r="M351" s="11"/>
      <c r="N351" s="17" t="str">
        <f aca="false">IF(OR(J351="",K351="",J351=0),"",(J351-K351)/J351)</f>
        <v/>
      </c>
      <c r="O351" s="11"/>
    </row>
    <row r="352" customFormat="false" ht="15" hidden="false" customHeight="false" outlineLevel="0" collapsed="false">
      <c r="A352" s="11"/>
      <c r="B352" s="11"/>
      <c r="C352" s="11"/>
      <c r="D352" s="11"/>
      <c r="E352" s="11"/>
      <c r="F352" s="11"/>
      <c r="G352" s="11"/>
      <c r="H352" s="11"/>
      <c r="I352" s="11"/>
      <c r="J352" s="15"/>
      <c r="K352" s="15"/>
      <c r="L352" s="11"/>
      <c r="M352" s="11"/>
      <c r="N352" s="17" t="str">
        <f aca="false">IF(OR(J352="",K352="",J352=0),"",(J352-K352)/J352)</f>
        <v/>
      </c>
      <c r="O352" s="11"/>
    </row>
    <row r="353" customFormat="false" ht="15" hidden="false" customHeight="false" outlineLevel="0" collapsed="false">
      <c r="A353" s="11"/>
      <c r="B353" s="11"/>
      <c r="C353" s="11"/>
      <c r="D353" s="11"/>
      <c r="E353" s="11"/>
      <c r="F353" s="11"/>
      <c r="G353" s="11"/>
      <c r="H353" s="11"/>
      <c r="I353" s="11"/>
      <c r="J353" s="15"/>
      <c r="K353" s="15"/>
      <c r="L353" s="11"/>
      <c r="M353" s="11"/>
      <c r="N353" s="17" t="str">
        <f aca="false">IF(OR(J353="",K353="",J353=0),"",(J353-K353)/J353)</f>
        <v/>
      </c>
      <c r="O353" s="11"/>
    </row>
    <row r="354" customFormat="false" ht="15" hidden="false" customHeight="false" outlineLevel="0" collapsed="false">
      <c r="A354" s="11"/>
      <c r="B354" s="11"/>
      <c r="C354" s="11"/>
      <c r="D354" s="11"/>
      <c r="E354" s="11"/>
      <c r="F354" s="11"/>
      <c r="G354" s="11"/>
      <c r="H354" s="11"/>
      <c r="I354" s="11"/>
      <c r="J354" s="15"/>
      <c r="K354" s="15"/>
      <c r="L354" s="11"/>
      <c r="M354" s="11"/>
      <c r="N354" s="17" t="str">
        <f aca="false">IF(OR(J354="",K354="",J354=0),"",(J354-K354)/J354)</f>
        <v/>
      </c>
      <c r="O354" s="11"/>
    </row>
    <row r="355" customFormat="false" ht="15" hidden="false" customHeight="false" outlineLevel="0" collapsed="false">
      <c r="A355" s="11"/>
      <c r="B355" s="11"/>
      <c r="C355" s="11"/>
      <c r="D355" s="11"/>
      <c r="E355" s="11"/>
      <c r="F355" s="11"/>
      <c r="G355" s="11"/>
      <c r="H355" s="11"/>
      <c r="I355" s="11"/>
      <c r="J355" s="15"/>
      <c r="K355" s="15"/>
      <c r="L355" s="11"/>
      <c r="M355" s="11"/>
      <c r="N355" s="17" t="str">
        <f aca="false">IF(OR(J355="",K355="",J355=0),"",(J355-K355)/J355)</f>
        <v/>
      </c>
      <c r="O355" s="11"/>
    </row>
    <row r="356" customFormat="false" ht="15" hidden="false" customHeight="false" outlineLevel="0" collapsed="false">
      <c r="A356" s="11"/>
      <c r="B356" s="11"/>
      <c r="C356" s="11"/>
      <c r="D356" s="11"/>
      <c r="E356" s="11"/>
      <c r="F356" s="11"/>
      <c r="G356" s="11"/>
      <c r="H356" s="11"/>
      <c r="I356" s="11"/>
      <c r="J356" s="15"/>
      <c r="K356" s="15"/>
      <c r="L356" s="11"/>
      <c r="M356" s="11"/>
      <c r="N356" s="17" t="str">
        <f aca="false">IF(OR(J356="",K356="",J356=0),"",(J356-K356)/J356)</f>
        <v/>
      </c>
      <c r="O356" s="11"/>
    </row>
    <row r="357" customFormat="false" ht="15" hidden="false" customHeight="false" outlineLevel="0" collapsed="false">
      <c r="A357" s="11"/>
      <c r="B357" s="11"/>
      <c r="C357" s="11"/>
      <c r="D357" s="11"/>
      <c r="E357" s="11"/>
      <c r="F357" s="11"/>
      <c r="G357" s="11"/>
      <c r="H357" s="11"/>
      <c r="I357" s="11"/>
      <c r="J357" s="15"/>
      <c r="K357" s="15"/>
      <c r="L357" s="11"/>
      <c r="M357" s="11"/>
      <c r="N357" s="17" t="str">
        <f aca="false">IF(OR(J357="",K357="",J357=0),"",(J357-K357)/J357)</f>
        <v/>
      </c>
      <c r="O357" s="11"/>
    </row>
    <row r="358" customFormat="false" ht="15" hidden="false" customHeight="false" outlineLevel="0" collapsed="false">
      <c r="A358" s="11"/>
      <c r="B358" s="11"/>
      <c r="C358" s="11"/>
      <c r="D358" s="11"/>
      <c r="E358" s="11"/>
      <c r="F358" s="11"/>
      <c r="G358" s="11"/>
      <c r="H358" s="11"/>
      <c r="I358" s="11"/>
      <c r="J358" s="15"/>
      <c r="K358" s="15"/>
      <c r="L358" s="11"/>
      <c r="M358" s="11"/>
      <c r="N358" s="17" t="str">
        <f aca="false">IF(OR(J358="",K358="",J358=0),"",(J358-K358)/J358)</f>
        <v/>
      </c>
      <c r="O358" s="11"/>
    </row>
    <row r="359" customFormat="false" ht="15" hidden="false" customHeight="false" outlineLevel="0" collapsed="false">
      <c r="A359" s="11"/>
      <c r="B359" s="11"/>
      <c r="C359" s="11"/>
      <c r="D359" s="11"/>
      <c r="E359" s="11"/>
      <c r="F359" s="11"/>
      <c r="G359" s="11"/>
      <c r="H359" s="11"/>
      <c r="I359" s="11"/>
      <c r="J359" s="15"/>
      <c r="K359" s="15"/>
      <c r="L359" s="11"/>
      <c r="M359" s="11"/>
      <c r="N359" s="17" t="str">
        <f aca="false">IF(OR(J359="",K359="",J359=0),"",(J359-K359)/J359)</f>
        <v/>
      </c>
      <c r="O359" s="11"/>
    </row>
    <row r="360" customFormat="false" ht="15" hidden="false" customHeight="false" outlineLevel="0" collapsed="false">
      <c r="A360" s="11"/>
      <c r="B360" s="11"/>
      <c r="C360" s="11"/>
      <c r="D360" s="11"/>
      <c r="E360" s="11"/>
      <c r="F360" s="11"/>
      <c r="G360" s="11"/>
      <c r="H360" s="11"/>
      <c r="I360" s="11"/>
      <c r="J360" s="15"/>
      <c r="K360" s="15"/>
      <c r="L360" s="11"/>
      <c r="M360" s="11"/>
      <c r="N360" s="17" t="str">
        <f aca="false">IF(OR(J360="",K360="",J360=0),"",(J360-K360)/J360)</f>
        <v/>
      </c>
      <c r="O360" s="11"/>
    </row>
    <row r="361" customFormat="false" ht="15" hidden="false" customHeight="false" outlineLevel="0" collapsed="false">
      <c r="A361" s="11"/>
      <c r="B361" s="11"/>
      <c r="C361" s="11"/>
      <c r="D361" s="11"/>
      <c r="E361" s="11"/>
      <c r="F361" s="11"/>
      <c r="G361" s="11"/>
      <c r="H361" s="11"/>
      <c r="I361" s="11"/>
      <c r="J361" s="15"/>
      <c r="K361" s="15"/>
      <c r="L361" s="11"/>
      <c r="M361" s="11"/>
      <c r="N361" s="17" t="str">
        <f aca="false">IF(OR(J361="",K361="",J361=0),"",(J361-K361)/J361)</f>
        <v/>
      </c>
      <c r="O361" s="11"/>
    </row>
    <row r="362" customFormat="false" ht="15" hidden="false" customHeight="false" outlineLevel="0" collapsed="false">
      <c r="A362" s="11"/>
      <c r="B362" s="11"/>
      <c r="C362" s="11"/>
      <c r="D362" s="11"/>
      <c r="E362" s="11"/>
      <c r="F362" s="11"/>
      <c r="G362" s="11"/>
      <c r="H362" s="11"/>
      <c r="I362" s="11"/>
      <c r="J362" s="15"/>
      <c r="K362" s="15"/>
      <c r="L362" s="11"/>
      <c r="M362" s="11"/>
      <c r="N362" s="17" t="str">
        <f aca="false">IF(OR(J362="",K362="",J362=0),"",(J362-K362)/J362)</f>
        <v/>
      </c>
      <c r="O362" s="11"/>
    </row>
    <row r="363" customFormat="false" ht="15" hidden="false" customHeight="false" outlineLevel="0" collapsed="false">
      <c r="A363" s="11"/>
      <c r="B363" s="11"/>
      <c r="C363" s="11"/>
      <c r="D363" s="11"/>
      <c r="E363" s="11"/>
      <c r="F363" s="11"/>
      <c r="G363" s="11"/>
      <c r="H363" s="11"/>
      <c r="I363" s="11"/>
      <c r="J363" s="15"/>
      <c r="K363" s="15"/>
      <c r="L363" s="11"/>
      <c r="M363" s="11"/>
      <c r="N363" s="17" t="str">
        <f aca="false">IF(OR(J363="",K363="",J363=0),"",(J363-K363)/J363)</f>
        <v/>
      </c>
      <c r="O363" s="11"/>
    </row>
    <row r="364" customFormat="false" ht="15" hidden="false" customHeight="false" outlineLevel="0" collapsed="false">
      <c r="A364" s="11"/>
      <c r="B364" s="11"/>
      <c r="C364" s="11"/>
      <c r="D364" s="11"/>
      <c r="E364" s="11"/>
      <c r="F364" s="11"/>
      <c r="G364" s="11"/>
      <c r="H364" s="11"/>
      <c r="I364" s="11"/>
      <c r="J364" s="15"/>
      <c r="K364" s="15"/>
      <c r="L364" s="11"/>
      <c r="M364" s="11"/>
      <c r="N364" s="17" t="str">
        <f aca="false">IF(OR(J364="",K364="",J364=0),"",(J364-K364)/J364)</f>
        <v/>
      </c>
      <c r="O364" s="11"/>
    </row>
    <row r="365" customFormat="false" ht="15" hidden="false" customHeight="false" outlineLevel="0" collapsed="false">
      <c r="A365" s="11"/>
      <c r="B365" s="11"/>
      <c r="C365" s="11"/>
      <c r="D365" s="11"/>
      <c r="E365" s="11"/>
      <c r="F365" s="11"/>
      <c r="G365" s="11"/>
      <c r="H365" s="11"/>
      <c r="I365" s="11"/>
      <c r="J365" s="15"/>
      <c r="K365" s="15"/>
      <c r="L365" s="11"/>
      <c r="M365" s="11"/>
      <c r="N365" s="17" t="str">
        <f aca="false">IF(OR(J365="",K365="",J365=0),"",(J365-K365)/J365)</f>
        <v/>
      </c>
      <c r="O365" s="11"/>
    </row>
    <row r="366" customFormat="false" ht="15" hidden="false" customHeight="false" outlineLevel="0" collapsed="false">
      <c r="A366" s="11"/>
      <c r="B366" s="11"/>
      <c r="C366" s="11"/>
      <c r="D366" s="11"/>
      <c r="E366" s="11"/>
      <c r="F366" s="11"/>
      <c r="G366" s="11"/>
      <c r="H366" s="11"/>
      <c r="I366" s="11"/>
      <c r="J366" s="15"/>
      <c r="K366" s="15"/>
      <c r="L366" s="11"/>
      <c r="M366" s="11"/>
      <c r="N366" s="17" t="str">
        <f aca="false">IF(OR(J366="",K366="",J366=0),"",(J366-K366)/J366)</f>
        <v/>
      </c>
      <c r="O366" s="11"/>
    </row>
    <row r="367" customFormat="false" ht="15" hidden="false" customHeight="false" outlineLevel="0" collapsed="false">
      <c r="A367" s="11"/>
      <c r="B367" s="11"/>
      <c r="C367" s="11"/>
      <c r="D367" s="11"/>
      <c r="E367" s="11"/>
      <c r="F367" s="11"/>
      <c r="G367" s="11"/>
      <c r="H367" s="11"/>
      <c r="I367" s="11"/>
      <c r="J367" s="15"/>
      <c r="K367" s="15"/>
      <c r="L367" s="11"/>
      <c r="M367" s="11"/>
      <c r="N367" s="17" t="str">
        <f aca="false">IF(OR(J367="",K367="",J367=0),"",(J367-K367)/J367)</f>
        <v/>
      </c>
      <c r="O367" s="11"/>
    </row>
    <row r="368" customFormat="false" ht="15" hidden="false" customHeight="false" outlineLevel="0" collapsed="false">
      <c r="A368" s="11"/>
      <c r="B368" s="11"/>
      <c r="C368" s="11"/>
      <c r="D368" s="11"/>
      <c r="E368" s="11"/>
      <c r="F368" s="11"/>
      <c r="G368" s="11"/>
      <c r="H368" s="11"/>
      <c r="I368" s="11"/>
      <c r="J368" s="15"/>
      <c r="K368" s="15"/>
      <c r="L368" s="11"/>
      <c r="M368" s="11"/>
      <c r="N368" s="17" t="str">
        <f aca="false">IF(OR(J368="",K368="",J368=0),"",(J368-K368)/J368)</f>
        <v/>
      </c>
      <c r="O368" s="11"/>
    </row>
    <row r="369" customFormat="false" ht="15" hidden="false" customHeight="false" outlineLevel="0" collapsed="false">
      <c r="A369" s="11"/>
      <c r="B369" s="11"/>
      <c r="C369" s="11"/>
      <c r="D369" s="11"/>
      <c r="E369" s="11"/>
      <c r="F369" s="11"/>
      <c r="G369" s="11"/>
      <c r="H369" s="11"/>
      <c r="I369" s="11"/>
      <c r="J369" s="15"/>
      <c r="K369" s="15"/>
      <c r="L369" s="11"/>
      <c r="M369" s="11"/>
      <c r="N369" s="17" t="str">
        <f aca="false">IF(OR(J369="",K369="",J369=0),"",(J369-K369)/J369)</f>
        <v/>
      </c>
      <c r="O369" s="11"/>
    </row>
    <row r="370" customFormat="false" ht="15" hidden="false" customHeight="false" outlineLevel="0" collapsed="false">
      <c r="A370" s="11"/>
      <c r="B370" s="11"/>
      <c r="C370" s="11"/>
      <c r="D370" s="11"/>
      <c r="E370" s="11"/>
      <c r="F370" s="11"/>
      <c r="G370" s="11"/>
      <c r="H370" s="11"/>
      <c r="I370" s="11"/>
      <c r="J370" s="15"/>
      <c r="K370" s="15"/>
      <c r="L370" s="11"/>
      <c r="M370" s="11"/>
      <c r="N370" s="17" t="str">
        <f aca="false">IF(OR(J370="",K370="",J370=0),"",(J370-K370)/J370)</f>
        <v/>
      </c>
      <c r="O370" s="11"/>
    </row>
    <row r="371" customFormat="false" ht="15" hidden="false" customHeight="false" outlineLevel="0" collapsed="false">
      <c r="A371" s="11"/>
      <c r="B371" s="11"/>
      <c r="C371" s="11"/>
      <c r="D371" s="11"/>
      <c r="E371" s="11"/>
      <c r="F371" s="11"/>
      <c r="G371" s="11"/>
      <c r="H371" s="11"/>
      <c r="I371" s="11"/>
      <c r="J371" s="15"/>
      <c r="K371" s="15"/>
      <c r="L371" s="11"/>
      <c r="M371" s="11"/>
      <c r="N371" s="17" t="str">
        <f aca="false">IF(OR(J371="",K371="",J371=0),"",(J371-K371)/J371)</f>
        <v/>
      </c>
      <c r="O371" s="11"/>
    </row>
    <row r="372" customFormat="false" ht="15" hidden="false" customHeight="false" outlineLevel="0" collapsed="false">
      <c r="A372" s="11"/>
      <c r="B372" s="11"/>
      <c r="C372" s="11"/>
      <c r="D372" s="11"/>
      <c r="E372" s="11"/>
      <c r="F372" s="11"/>
      <c r="G372" s="11"/>
      <c r="H372" s="11"/>
      <c r="I372" s="11"/>
      <c r="J372" s="15"/>
      <c r="K372" s="15"/>
      <c r="L372" s="11"/>
      <c r="M372" s="11"/>
      <c r="N372" s="17" t="str">
        <f aca="false">IF(OR(J372="",K372="",J372=0),"",(J372-K372)/J372)</f>
        <v/>
      </c>
      <c r="O372" s="11"/>
    </row>
    <row r="373" customFormat="false" ht="15" hidden="false" customHeight="false" outlineLevel="0" collapsed="false">
      <c r="A373" s="11"/>
      <c r="B373" s="11"/>
      <c r="C373" s="11"/>
      <c r="D373" s="11"/>
      <c r="E373" s="11"/>
      <c r="F373" s="11"/>
      <c r="G373" s="11"/>
      <c r="H373" s="11"/>
      <c r="I373" s="11"/>
      <c r="J373" s="15"/>
      <c r="K373" s="15"/>
      <c r="L373" s="11"/>
      <c r="M373" s="11"/>
      <c r="N373" s="17" t="str">
        <f aca="false">IF(OR(J373="",K373="",J373=0),"",(J373-K373)/J373)</f>
        <v/>
      </c>
      <c r="O373" s="11"/>
    </row>
    <row r="374" customFormat="false" ht="15" hidden="false" customHeight="false" outlineLevel="0" collapsed="false">
      <c r="A374" s="11"/>
      <c r="B374" s="11"/>
      <c r="C374" s="11"/>
      <c r="D374" s="11"/>
      <c r="E374" s="11"/>
      <c r="F374" s="11"/>
      <c r="G374" s="11"/>
      <c r="H374" s="11"/>
      <c r="I374" s="11"/>
      <c r="J374" s="15"/>
      <c r="K374" s="15"/>
      <c r="L374" s="11"/>
      <c r="M374" s="11"/>
      <c r="N374" s="17" t="str">
        <f aca="false">IF(OR(J374="",K374="",J374=0),"",(J374-K374)/J374)</f>
        <v/>
      </c>
      <c r="O374" s="11"/>
    </row>
    <row r="375" customFormat="false" ht="15" hidden="false" customHeight="false" outlineLevel="0" collapsed="false">
      <c r="A375" s="11"/>
      <c r="B375" s="11"/>
      <c r="C375" s="11"/>
      <c r="D375" s="11"/>
      <c r="E375" s="11"/>
      <c r="F375" s="11"/>
      <c r="G375" s="11"/>
      <c r="H375" s="11"/>
      <c r="I375" s="11"/>
      <c r="J375" s="15"/>
      <c r="K375" s="15"/>
      <c r="L375" s="11"/>
      <c r="M375" s="11"/>
      <c r="N375" s="17" t="str">
        <f aca="false">IF(OR(J375="",K375="",J375=0),"",(J375-K375)/J375)</f>
        <v/>
      </c>
      <c r="O375" s="11"/>
    </row>
    <row r="376" customFormat="false" ht="15" hidden="false" customHeight="false" outlineLevel="0" collapsed="false">
      <c r="A376" s="11"/>
      <c r="B376" s="11"/>
      <c r="C376" s="11"/>
      <c r="D376" s="11"/>
      <c r="E376" s="11"/>
      <c r="F376" s="11"/>
      <c r="G376" s="11"/>
      <c r="H376" s="11"/>
      <c r="I376" s="11"/>
      <c r="J376" s="15"/>
      <c r="K376" s="15"/>
      <c r="L376" s="11"/>
      <c r="M376" s="11"/>
      <c r="N376" s="17" t="str">
        <f aca="false">IF(OR(J376="",K376="",J376=0),"",(J376-K376)/J376)</f>
        <v/>
      </c>
      <c r="O376" s="11"/>
    </row>
    <row r="377" customFormat="false" ht="15" hidden="false" customHeight="false" outlineLevel="0" collapsed="false">
      <c r="A377" s="11"/>
      <c r="B377" s="11"/>
      <c r="C377" s="11"/>
      <c r="D377" s="11"/>
      <c r="E377" s="11"/>
      <c r="F377" s="11"/>
      <c r="G377" s="11"/>
      <c r="H377" s="11"/>
      <c r="I377" s="11"/>
      <c r="J377" s="15"/>
      <c r="K377" s="15"/>
      <c r="L377" s="11"/>
      <c r="M377" s="11"/>
      <c r="N377" s="17" t="str">
        <f aca="false">IF(OR(J377="",K377="",J377=0),"",(J377-K377)/J377)</f>
        <v/>
      </c>
      <c r="O377" s="11"/>
    </row>
    <row r="378" customFormat="false" ht="15" hidden="false" customHeight="false" outlineLevel="0" collapsed="false">
      <c r="A378" s="11"/>
      <c r="B378" s="11"/>
      <c r="C378" s="11"/>
      <c r="D378" s="11"/>
      <c r="E378" s="11"/>
      <c r="F378" s="11"/>
      <c r="G378" s="11"/>
      <c r="H378" s="11"/>
      <c r="I378" s="11"/>
      <c r="J378" s="15"/>
      <c r="K378" s="15"/>
      <c r="L378" s="11"/>
      <c r="M378" s="11"/>
      <c r="N378" s="17" t="str">
        <f aca="false">IF(OR(J378="",K378="",J378=0),"",(J378-K378)/J378)</f>
        <v/>
      </c>
      <c r="O378" s="11"/>
    </row>
    <row r="379" customFormat="false" ht="15" hidden="false" customHeight="false" outlineLevel="0" collapsed="false">
      <c r="A379" s="11"/>
      <c r="B379" s="11"/>
      <c r="C379" s="11"/>
      <c r="D379" s="11"/>
      <c r="E379" s="11"/>
      <c r="F379" s="11"/>
      <c r="G379" s="11"/>
      <c r="H379" s="11"/>
      <c r="I379" s="11"/>
      <c r="J379" s="15"/>
      <c r="K379" s="15"/>
      <c r="L379" s="11"/>
      <c r="M379" s="11"/>
      <c r="N379" s="17" t="str">
        <f aca="false">IF(OR(J379="",K379="",J379=0),"",(J379-K379)/J379)</f>
        <v/>
      </c>
      <c r="O379" s="11"/>
    </row>
    <row r="380" customFormat="false" ht="15" hidden="false" customHeight="false" outlineLevel="0" collapsed="false">
      <c r="A380" s="11"/>
      <c r="B380" s="11"/>
      <c r="C380" s="11"/>
      <c r="D380" s="11"/>
      <c r="E380" s="11"/>
      <c r="F380" s="11"/>
      <c r="G380" s="11"/>
      <c r="H380" s="11"/>
      <c r="I380" s="11"/>
      <c r="J380" s="15"/>
      <c r="K380" s="15"/>
      <c r="L380" s="11"/>
      <c r="M380" s="11"/>
      <c r="N380" s="17" t="str">
        <f aca="false">IF(OR(J380="",K380="",J380=0),"",(J380-K380)/J380)</f>
        <v/>
      </c>
      <c r="O380" s="11"/>
    </row>
    <row r="381" customFormat="false" ht="15" hidden="false" customHeight="false" outlineLevel="0" collapsed="false">
      <c r="A381" s="11"/>
      <c r="B381" s="11"/>
      <c r="C381" s="11"/>
      <c r="D381" s="11"/>
      <c r="E381" s="11"/>
      <c r="F381" s="11"/>
      <c r="G381" s="11"/>
      <c r="H381" s="11"/>
      <c r="I381" s="11"/>
      <c r="J381" s="15"/>
      <c r="K381" s="15"/>
      <c r="L381" s="11"/>
      <c r="M381" s="11"/>
      <c r="N381" s="17" t="str">
        <f aca="false">IF(OR(J381="",K381="",J381=0),"",(J381-K381)/J381)</f>
        <v/>
      </c>
      <c r="O381" s="11"/>
    </row>
    <row r="382" customFormat="false" ht="15" hidden="false" customHeight="false" outlineLevel="0" collapsed="false">
      <c r="A382" s="11"/>
      <c r="B382" s="11"/>
      <c r="C382" s="11"/>
      <c r="D382" s="11"/>
      <c r="E382" s="11"/>
      <c r="F382" s="11"/>
      <c r="G382" s="11"/>
      <c r="H382" s="11"/>
      <c r="I382" s="11"/>
      <c r="J382" s="15"/>
      <c r="K382" s="15"/>
      <c r="L382" s="11"/>
      <c r="M382" s="11"/>
      <c r="N382" s="17" t="str">
        <f aca="false">IF(OR(J382="",K382="",J382=0),"",(J382-K382)/J382)</f>
        <v/>
      </c>
      <c r="O382" s="11"/>
    </row>
    <row r="383" customFormat="false" ht="15" hidden="false" customHeight="false" outlineLevel="0" collapsed="false">
      <c r="A383" s="11"/>
      <c r="B383" s="11"/>
      <c r="C383" s="11"/>
      <c r="D383" s="11"/>
      <c r="E383" s="11"/>
      <c r="F383" s="11"/>
      <c r="G383" s="11"/>
      <c r="H383" s="11"/>
      <c r="I383" s="11"/>
      <c r="J383" s="15"/>
      <c r="K383" s="15"/>
      <c r="L383" s="11"/>
      <c r="M383" s="11"/>
      <c r="N383" s="17" t="str">
        <f aca="false">IF(OR(J383="",K383="",J383=0),"",(J383-K383)/J383)</f>
        <v/>
      </c>
      <c r="O383" s="11"/>
    </row>
    <row r="384" customFormat="false" ht="15" hidden="false" customHeight="false" outlineLevel="0" collapsed="false">
      <c r="A384" s="11"/>
      <c r="B384" s="11"/>
      <c r="C384" s="11"/>
      <c r="D384" s="11"/>
      <c r="E384" s="11"/>
      <c r="F384" s="11"/>
      <c r="G384" s="11"/>
      <c r="H384" s="11"/>
      <c r="I384" s="11"/>
      <c r="J384" s="15"/>
      <c r="K384" s="15"/>
      <c r="L384" s="11"/>
      <c r="M384" s="11"/>
      <c r="N384" s="17" t="str">
        <f aca="false">IF(OR(J384="",K384="",J384=0),"",(J384-K384)/J384)</f>
        <v/>
      </c>
      <c r="O384" s="11"/>
    </row>
    <row r="385" customFormat="false" ht="15" hidden="false" customHeight="false" outlineLevel="0" collapsed="false">
      <c r="A385" s="11"/>
      <c r="B385" s="11"/>
      <c r="C385" s="11"/>
      <c r="D385" s="11"/>
      <c r="E385" s="11"/>
      <c r="F385" s="11"/>
      <c r="G385" s="11"/>
      <c r="H385" s="11"/>
      <c r="I385" s="11"/>
      <c r="J385" s="15"/>
      <c r="K385" s="15"/>
      <c r="L385" s="11"/>
      <c r="M385" s="11"/>
      <c r="N385" s="17" t="str">
        <f aca="false">IF(OR(J385="",K385="",J385=0),"",(J385-K385)/J385)</f>
        <v/>
      </c>
      <c r="O385" s="11"/>
    </row>
    <row r="386" customFormat="false" ht="15" hidden="false" customHeight="false" outlineLevel="0" collapsed="false">
      <c r="A386" s="11"/>
      <c r="B386" s="11"/>
      <c r="C386" s="11"/>
      <c r="D386" s="11"/>
      <c r="E386" s="11"/>
      <c r="F386" s="11"/>
      <c r="G386" s="11"/>
      <c r="H386" s="11"/>
      <c r="I386" s="11"/>
      <c r="J386" s="15"/>
      <c r="K386" s="15"/>
      <c r="L386" s="11"/>
      <c r="M386" s="11"/>
      <c r="N386" s="17" t="str">
        <f aca="false">IF(OR(J386="",K386="",J386=0),"",(J386-K386)/J386)</f>
        <v/>
      </c>
      <c r="O386" s="11"/>
    </row>
    <row r="387" customFormat="false" ht="15" hidden="false" customHeight="false" outlineLevel="0" collapsed="false">
      <c r="A387" s="11"/>
      <c r="B387" s="11"/>
      <c r="C387" s="11"/>
      <c r="D387" s="11"/>
      <c r="E387" s="11"/>
      <c r="F387" s="11"/>
      <c r="G387" s="11"/>
      <c r="H387" s="11"/>
      <c r="I387" s="11"/>
      <c r="J387" s="15"/>
      <c r="K387" s="15"/>
      <c r="L387" s="11"/>
      <c r="M387" s="11"/>
      <c r="N387" s="17" t="str">
        <f aca="false">IF(OR(J387="",K387="",J387=0),"",(J387-K387)/J387)</f>
        <v/>
      </c>
      <c r="O387" s="11"/>
    </row>
    <row r="388" customFormat="false" ht="15" hidden="false" customHeight="false" outlineLevel="0" collapsed="false">
      <c r="A388" s="11"/>
      <c r="B388" s="11"/>
      <c r="C388" s="11"/>
      <c r="D388" s="11"/>
      <c r="E388" s="11"/>
      <c r="F388" s="11"/>
      <c r="G388" s="11"/>
      <c r="H388" s="11"/>
      <c r="I388" s="11"/>
      <c r="J388" s="15"/>
      <c r="K388" s="15"/>
      <c r="L388" s="11"/>
      <c r="M388" s="11"/>
      <c r="N388" s="17" t="str">
        <f aca="false">IF(OR(J388="",K388="",J388=0),"",(J388-K388)/J388)</f>
        <v/>
      </c>
      <c r="O388" s="11"/>
    </row>
    <row r="389" customFormat="false" ht="15" hidden="false" customHeight="false" outlineLevel="0" collapsed="false">
      <c r="A389" s="11"/>
      <c r="B389" s="11"/>
      <c r="C389" s="11"/>
      <c r="D389" s="11"/>
      <c r="E389" s="11"/>
      <c r="F389" s="11"/>
      <c r="G389" s="11"/>
      <c r="H389" s="11"/>
      <c r="I389" s="11"/>
      <c r="J389" s="15"/>
      <c r="K389" s="15"/>
      <c r="L389" s="11"/>
      <c r="M389" s="11"/>
      <c r="N389" s="17" t="str">
        <f aca="false">IF(OR(J389="",K389="",J389=0),"",(J389-K389)/J389)</f>
        <v/>
      </c>
      <c r="O389" s="11"/>
    </row>
    <row r="390" customFormat="false" ht="15" hidden="false" customHeight="false" outlineLevel="0" collapsed="false">
      <c r="A390" s="11"/>
      <c r="B390" s="11"/>
      <c r="C390" s="11"/>
      <c r="D390" s="11"/>
      <c r="E390" s="11"/>
      <c r="F390" s="11"/>
      <c r="G390" s="11"/>
      <c r="H390" s="11"/>
      <c r="I390" s="11"/>
      <c r="J390" s="15"/>
      <c r="K390" s="15"/>
      <c r="L390" s="11"/>
      <c r="M390" s="11"/>
      <c r="N390" s="17" t="str">
        <f aca="false">IF(OR(J390="",K390="",J390=0),"",(J390-K390)/J390)</f>
        <v/>
      </c>
      <c r="O390" s="11"/>
    </row>
    <row r="391" customFormat="false" ht="15" hidden="false" customHeight="false" outlineLevel="0" collapsed="false">
      <c r="A391" s="11"/>
      <c r="B391" s="11"/>
      <c r="C391" s="11"/>
      <c r="D391" s="11"/>
      <c r="E391" s="11"/>
      <c r="F391" s="11"/>
      <c r="G391" s="11"/>
      <c r="H391" s="11"/>
      <c r="I391" s="11"/>
      <c r="J391" s="15"/>
      <c r="K391" s="15"/>
      <c r="L391" s="11"/>
      <c r="M391" s="11"/>
      <c r="N391" s="17" t="str">
        <f aca="false">IF(OR(J391="",K391="",J391=0),"",(J391-K391)/J391)</f>
        <v/>
      </c>
      <c r="O391" s="11"/>
    </row>
    <row r="392" customFormat="false" ht="15" hidden="false" customHeight="false" outlineLevel="0" collapsed="false">
      <c r="A392" s="11"/>
      <c r="B392" s="11"/>
      <c r="C392" s="11"/>
      <c r="D392" s="11"/>
      <c r="E392" s="11"/>
      <c r="F392" s="11"/>
      <c r="G392" s="11"/>
      <c r="H392" s="11"/>
      <c r="I392" s="11"/>
      <c r="J392" s="15"/>
      <c r="K392" s="15"/>
      <c r="L392" s="11"/>
      <c r="M392" s="11"/>
      <c r="N392" s="17" t="str">
        <f aca="false">IF(OR(J392="",K392="",J392=0),"",(J392-K392)/J392)</f>
        <v/>
      </c>
      <c r="O392" s="11"/>
    </row>
    <row r="393" customFormat="false" ht="15" hidden="false" customHeight="false" outlineLevel="0" collapsed="false">
      <c r="A393" s="11"/>
      <c r="B393" s="11"/>
      <c r="C393" s="11"/>
      <c r="D393" s="11"/>
      <c r="E393" s="11"/>
      <c r="F393" s="11"/>
      <c r="G393" s="11"/>
      <c r="H393" s="11"/>
      <c r="I393" s="11"/>
      <c r="J393" s="15"/>
      <c r="K393" s="15"/>
      <c r="L393" s="11"/>
      <c r="M393" s="11"/>
      <c r="N393" s="17" t="str">
        <f aca="false">IF(OR(J393="",K393="",J393=0),"",(J393-K393)/J393)</f>
        <v/>
      </c>
      <c r="O393" s="11"/>
    </row>
    <row r="394" customFormat="false" ht="15" hidden="false" customHeight="false" outlineLevel="0" collapsed="false">
      <c r="A394" s="11"/>
      <c r="B394" s="11"/>
      <c r="C394" s="11"/>
      <c r="D394" s="11"/>
      <c r="E394" s="11"/>
      <c r="F394" s="11"/>
      <c r="G394" s="11"/>
      <c r="H394" s="11"/>
      <c r="I394" s="11"/>
      <c r="J394" s="15"/>
      <c r="K394" s="15"/>
      <c r="L394" s="11"/>
      <c r="M394" s="11"/>
      <c r="N394" s="17" t="str">
        <f aca="false">IF(OR(J394="",K394="",J394=0),"",(J394-K394)/J394)</f>
        <v/>
      </c>
      <c r="O394" s="11"/>
    </row>
    <row r="395" customFormat="false" ht="15" hidden="false" customHeight="false" outlineLevel="0" collapsed="false">
      <c r="A395" s="11"/>
      <c r="B395" s="11"/>
      <c r="C395" s="11"/>
      <c r="D395" s="11"/>
      <c r="E395" s="11"/>
      <c r="F395" s="11"/>
      <c r="G395" s="11"/>
      <c r="H395" s="11"/>
      <c r="I395" s="11"/>
      <c r="J395" s="15"/>
      <c r="K395" s="15"/>
      <c r="L395" s="11"/>
      <c r="M395" s="11"/>
      <c r="N395" s="17" t="str">
        <f aca="false">IF(OR(J395="",K395="",J395=0),"",(J395-K395)/J395)</f>
        <v/>
      </c>
      <c r="O395" s="11"/>
    </row>
    <row r="396" customFormat="false" ht="15" hidden="false" customHeight="false" outlineLevel="0" collapsed="false">
      <c r="A396" s="11"/>
      <c r="B396" s="11"/>
      <c r="C396" s="11"/>
      <c r="D396" s="11"/>
      <c r="E396" s="11"/>
      <c r="F396" s="11"/>
      <c r="G396" s="11"/>
      <c r="H396" s="11"/>
      <c r="I396" s="11"/>
      <c r="J396" s="15"/>
      <c r="K396" s="15"/>
      <c r="L396" s="11"/>
      <c r="M396" s="11"/>
      <c r="N396" s="17" t="str">
        <f aca="false">IF(OR(J396="",K396="",J396=0),"",(J396-K396)/J396)</f>
        <v/>
      </c>
      <c r="O396" s="11"/>
    </row>
    <row r="397" customFormat="false" ht="15" hidden="false" customHeight="false" outlineLevel="0" collapsed="false">
      <c r="A397" s="11"/>
      <c r="B397" s="11"/>
      <c r="C397" s="11"/>
      <c r="D397" s="11"/>
      <c r="E397" s="11"/>
      <c r="F397" s="11"/>
      <c r="G397" s="11"/>
      <c r="H397" s="11"/>
      <c r="I397" s="11"/>
      <c r="J397" s="15"/>
      <c r="K397" s="15"/>
      <c r="L397" s="11"/>
      <c r="M397" s="11"/>
      <c r="N397" s="17" t="str">
        <f aca="false">IF(OR(J397="",K397="",J397=0),"",(J397-K397)/J397)</f>
        <v/>
      </c>
      <c r="O397" s="11"/>
    </row>
    <row r="398" customFormat="false" ht="15" hidden="false" customHeight="false" outlineLevel="0" collapsed="false">
      <c r="A398" s="11"/>
      <c r="B398" s="11"/>
      <c r="C398" s="11"/>
      <c r="D398" s="11"/>
      <c r="E398" s="11"/>
      <c r="F398" s="11"/>
      <c r="G398" s="11"/>
      <c r="H398" s="11"/>
      <c r="I398" s="11"/>
      <c r="J398" s="15"/>
      <c r="K398" s="15"/>
      <c r="L398" s="11"/>
      <c r="M398" s="11"/>
      <c r="N398" s="17" t="str">
        <f aca="false">IF(OR(J398="",K398="",J398=0),"",(J398-K398)/J398)</f>
        <v/>
      </c>
      <c r="O398" s="11"/>
    </row>
    <row r="399" customFormat="false" ht="15" hidden="false" customHeight="false" outlineLevel="0" collapsed="false">
      <c r="A399" s="11"/>
      <c r="B399" s="11"/>
      <c r="C399" s="11"/>
      <c r="D399" s="11"/>
      <c r="E399" s="11"/>
      <c r="F399" s="11"/>
      <c r="G399" s="11"/>
      <c r="H399" s="11"/>
      <c r="I399" s="11"/>
      <c r="J399" s="15"/>
      <c r="K399" s="15"/>
      <c r="L399" s="11"/>
      <c r="M399" s="11"/>
      <c r="N399" s="17" t="str">
        <f aca="false">IF(OR(J399="",K399="",J399=0),"",(J399-K399)/J399)</f>
        <v/>
      </c>
      <c r="O399" s="11"/>
    </row>
    <row r="400" customFormat="false" ht="15" hidden="false" customHeight="false" outlineLevel="0" collapsed="false">
      <c r="A400" s="11"/>
      <c r="B400" s="11"/>
      <c r="C400" s="11"/>
      <c r="D400" s="11"/>
      <c r="E400" s="11"/>
      <c r="F400" s="11"/>
      <c r="G400" s="11"/>
      <c r="H400" s="11"/>
      <c r="I400" s="11"/>
      <c r="J400" s="15"/>
      <c r="K400" s="15"/>
      <c r="L400" s="11"/>
      <c r="M400" s="11"/>
      <c r="N400" s="17" t="str">
        <f aca="false">IF(OR(J400="",K400="",J400=0),"",(J400-K400)/J400)</f>
        <v/>
      </c>
      <c r="O400" s="11"/>
    </row>
    <row r="401" customFormat="false" ht="15" hidden="false" customHeight="false" outlineLevel="0" collapsed="false">
      <c r="A401" s="11"/>
      <c r="B401" s="11"/>
      <c r="C401" s="11"/>
      <c r="D401" s="11"/>
      <c r="E401" s="11"/>
      <c r="F401" s="11"/>
      <c r="G401" s="11"/>
      <c r="H401" s="11"/>
      <c r="I401" s="11"/>
      <c r="J401" s="15"/>
      <c r="K401" s="15"/>
      <c r="L401" s="11"/>
      <c r="M401" s="11"/>
      <c r="N401" s="17" t="str">
        <f aca="false">IF(OR(J401="",K401="",J401=0),"",(J401-K401)/J401)</f>
        <v/>
      </c>
      <c r="O401" s="11"/>
    </row>
    <row r="402" customFormat="false" ht="15" hidden="false" customHeight="false" outlineLevel="0" collapsed="false">
      <c r="A402" s="11"/>
      <c r="B402" s="11"/>
      <c r="C402" s="11"/>
      <c r="D402" s="11"/>
      <c r="E402" s="11"/>
      <c r="F402" s="11"/>
      <c r="G402" s="11"/>
      <c r="H402" s="11"/>
      <c r="I402" s="11"/>
      <c r="J402" s="15"/>
      <c r="K402" s="15"/>
      <c r="L402" s="11"/>
      <c r="M402" s="11"/>
      <c r="N402" s="17" t="str">
        <f aca="false">IF(OR(J402="",K402="",J402=0),"",(J402-K402)/J402)</f>
        <v/>
      </c>
      <c r="O402" s="11"/>
    </row>
    <row r="403" customFormat="false" ht="15" hidden="false" customHeight="false" outlineLevel="0" collapsed="false">
      <c r="A403" s="11"/>
      <c r="B403" s="11"/>
      <c r="C403" s="11"/>
      <c r="D403" s="11"/>
      <c r="E403" s="11"/>
      <c r="F403" s="11"/>
      <c r="G403" s="11"/>
      <c r="H403" s="11"/>
      <c r="I403" s="11"/>
      <c r="J403" s="15"/>
      <c r="K403" s="15"/>
      <c r="L403" s="11"/>
      <c r="M403" s="11"/>
      <c r="N403" s="17" t="str">
        <f aca="false">IF(OR(J403="",K403="",J403=0),"",(J403-K403)/J403)</f>
        <v/>
      </c>
      <c r="O403" s="11"/>
    </row>
    <row r="404" customFormat="false" ht="15" hidden="false" customHeight="false" outlineLevel="0" collapsed="false">
      <c r="A404" s="11"/>
      <c r="B404" s="11"/>
      <c r="C404" s="11"/>
      <c r="D404" s="11"/>
      <c r="E404" s="11"/>
      <c r="F404" s="11"/>
      <c r="G404" s="11"/>
      <c r="H404" s="11"/>
      <c r="I404" s="11"/>
      <c r="J404" s="15"/>
      <c r="K404" s="15"/>
      <c r="L404" s="11"/>
      <c r="M404" s="11"/>
      <c r="N404" s="17" t="str">
        <f aca="false">IF(OR(J404="",K404="",J404=0),"",(J404-K404)/J404)</f>
        <v/>
      </c>
      <c r="O404" s="11"/>
    </row>
    <row r="405" customFormat="false" ht="15" hidden="false" customHeight="false" outlineLevel="0" collapsed="false">
      <c r="A405" s="11"/>
      <c r="B405" s="11"/>
      <c r="C405" s="11"/>
      <c r="D405" s="11"/>
      <c r="E405" s="11"/>
      <c r="F405" s="11"/>
      <c r="G405" s="11"/>
      <c r="H405" s="11"/>
      <c r="I405" s="11"/>
      <c r="J405" s="15"/>
      <c r="K405" s="15"/>
      <c r="L405" s="11"/>
      <c r="M405" s="11"/>
      <c r="N405" s="17" t="str">
        <f aca="false">IF(OR(J405="",K405="",J405=0),"",(J405-K405)/J405)</f>
        <v/>
      </c>
      <c r="O405" s="11"/>
    </row>
    <row r="406" customFormat="false" ht="15" hidden="false" customHeight="false" outlineLevel="0" collapsed="false">
      <c r="A406" s="11"/>
      <c r="B406" s="11"/>
      <c r="C406" s="11"/>
      <c r="D406" s="11"/>
      <c r="E406" s="11"/>
      <c r="F406" s="11"/>
      <c r="G406" s="11"/>
      <c r="H406" s="11"/>
      <c r="I406" s="11"/>
      <c r="J406" s="15"/>
      <c r="K406" s="15"/>
      <c r="L406" s="11"/>
      <c r="M406" s="11"/>
      <c r="N406" s="17" t="str">
        <f aca="false">IF(OR(J406="",K406="",J406=0),"",(J406-K406)/J406)</f>
        <v/>
      </c>
      <c r="O406" s="11"/>
    </row>
    <row r="407" customFormat="false" ht="15" hidden="false" customHeight="false" outlineLevel="0" collapsed="false">
      <c r="A407" s="11"/>
      <c r="B407" s="11"/>
      <c r="C407" s="11"/>
      <c r="D407" s="11"/>
      <c r="E407" s="11"/>
      <c r="F407" s="11"/>
      <c r="G407" s="11"/>
      <c r="H407" s="11"/>
      <c r="I407" s="11"/>
      <c r="J407" s="15"/>
      <c r="K407" s="15"/>
      <c r="L407" s="11"/>
      <c r="M407" s="11"/>
      <c r="N407" s="17" t="str">
        <f aca="false">IF(OR(J407="",K407="",J407=0),"",(J407-K407)/J407)</f>
        <v/>
      </c>
      <c r="O407" s="11"/>
    </row>
    <row r="408" customFormat="false" ht="15" hidden="false" customHeight="false" outlineLevel="0" collapsed="false">
      <c r="A408" s="11"/>
      <c r="B408" s="11"/>
      <c r="C408" s="11"/>
      <c r="D408" s="11"/>
      <c r="E408" s="11"/>
      <c r="F408" s="11"/>
      <c r="G408" s="11"/>
      <c r="H408" s="11"/>
      <c r="I408" s="11"/>
      <c r="J408" s="15"/>
      <c r="K408" s="15"/>
      <c r="L408" s="11"/>
      <c r="M408" s="11"/>
      <c r="N408" s="17" t="str">
        <f aca="false">IF(OR(J408="",K408="",J408=0),"",(J408-K408)/J408)</f>
        <v/>
      </c>
      <c r="O408" s="11"/>
    </row>
    <row r="409" customFormat="false" ht="15" hidden="false" customHeight="false" outlineLevel="0" collapsed="false">
      <c r="A409" s="11"/>
      <c r="B409" s="11"/>
      <c r="C409" s="11"/>
      <c r="D409" s="11"/>
      <c r="E409" s="11"/>
      <c r="F409" s="11"/>
      <c r="G409" s="11"/>
      <c r="H409" s="11"/>
      <c r="I409" s="11"/>
      <c r="J409" s="15"/>
      <c r="K409" s="15"/>
      <c r="L409" s="11"/>
      <c r="M409" s="11"/>
      <c r="N409" s="17" t="str">
        <f aca="false">IF(OR(J409="",K409="",J409=0),"",(J409-K409)/J409)</f>
        <v/>
      </c>
      <c r="O409" s="11"/>
    </row>
    <row r="410" customFormat="false" ht="15" hidden="false" customHeight="false" outlineLevel="0" collapsed="false">
      <c r="A410" s="11"/>
      <c r="B410" s="11"/>
      <c r="C410" s="11"/>
      <c r="D410" s="11"/>
      <c r="E410" s="11"/>
      <c r="F410" s="11"/>
      <c r="G410" s="11"/>
      <c r="H410" s="11"/>
      <c r="I410" s="11"/>
      <c r="J410" s="15"/>
      <c r="K410" s="15"/>
      <c r="L410" s="11"/>
      <c r="M410" s="11"/>
      <c r="N410" s="17" t="str">
        <f aca="false">IF(OR(J410="",K410="",J410=0),"",(J410-K410)/J410)</f>
        <v/>
      </c>
      <c r="O410" s="11"/>
    </row>
    <row r="411" customFormat="false" ht="15" hidden="false" customHeight="false" outlineLevel="0" collapsed="false">
      <c r="A411" s="11"/>
      <c r="B411" s="11"/>
      <c r="C411" s="11"/>
      <c r="D411" s="11"/>
      <c r="E411" s="11"/>
      <c r="F411" s="11"/>
      <c r="G411" s="11"/>
      <c r="H411" s="11"/>
      <c r="I411" s="11"/>
      <c r="J411" s="15"/>
      <c r="K411" s="15"/>
      <c r="L411" s="11"/>
      <c r="M411" s="11"/>
      <c r="N411" s="17" t="str">
        <f aca="false">IF(OR(J411="",K411="",J411=0),"",(J411-K411)/J411)</f>
        <v/>
      </c>
      <c r="O411" s="11"/>
    </row>
    <row r="412" customFormat="false" ht="15" hidden="false" customHeight="false" outlineLevel="0" collapsed="false">
      <c r="A412" s="11"/>
      <c r="B412" s="11"/>
      <c r="C412" s="11"/>
      <c r="D412" s="11"/>
      <c r="E412" s="11"/>
      <c r="F412" s="11"/>
      <c r="G412" s="11"/>
      <c r="H412" s="11"/>
      <c r="I412" s="11"/>
      <c r="J412" s="15"/>
      <c r="K412" s="15"/>
      <c r="L412" s="11"/>
      <c r="M412" s="11"/>
      <c r="N412" s="17" t="str">
        <f aca="false">IF(OR(J412="",K412="",J412=0),"",(J412-K412)/J412)</f>
        <v/>
      </c>
      <c r="O412" s="11"/>
    </row>
    <row r="413" customFormat="false" ht="15" hidden="false" customHeight="false" outlineLevel="0" collapsed="false">
      <c r="A413" s="11"/>
      <c r="B413" s="11"/>
      <c r="C413" s="11"/>
      <c r="D413" s="11"/>
      <c r="E413" s="11"/>
      <c r="F413" s="11"/>
      <c r="G413" s="11"/>
      <c r="H413" s="11"/>
      <c r="I413" s="11"/>
      <c r="J413" s="15"/>
      <c r="K413" s="15"/>
      <c r="L413" s="11"/>
      <c r="M413" s="11"/>
      <c r="N413" s="17" t="str">
        <f aca="false">IF(OR(J413="",K413="",J413=0),"",(J413-K413)/J413)</f>
        <v/>
      </c>
      <c r="O413" s="11"/>
    </row>
    <row r="414" customFormat="false" ht="15" hidden="false" customHeight="false" outlineLevel="0" collapsed="false">
      <c r="A414" s="11"/>
      <c r="B414" s="11"/>
      <c r="C414" s="11"/>
      <c r="D414" s="11"/>
      <c r="E414" s="11"/>
      <c r="F414" s="11"/>
      <c r="G414" s="11"/>
      <c r="H414" s="11"/>
      <c r="I414" s="11"/>
      <c r="J414" s="15"/>
      <c r="K414" s="15"/>
      <c r="L414" s="11"/>
      <c r="M414" s="11"/>
      <c r="N414" s="17" t="str">
        <f aca="false">IF(OR(J414="",K414="",J414=0),"",(J414-K414)/J414)</f>
        <v/>
      </c>
      <c r="O414" s="11"/>
    </row>
    <row r="415" customFormat="false" ht="15" hidden="false" customHeight="false" outlineLevel="0" collapsed="false">
      <c r="A415" s="11"/>
      <c r="B415" s="11"/>
      <c r="C415" s="11"/>
      <c r="D415" s="11"/>
      <c r="E415" s="11"/>
      <c r="F415" s="11"/>
      <c r="G415" s="11"/>
      <c r="H415" s="11"/>
      <c r="I415" s="11"/>
      <c r="J415" s="15"/>
      <c r="K415" s="15"/>
      <c r="L415" s="11"/>
      <c r="M415" s="11"/>
      <c r="N415" s="17" t="str">
        <f aca="false">IF(OR(J415="",K415="",J415=0),"",(J415-K415)/J415)</f>
        <v/>
      </c>
      <c r="O415" s="11"/>
    </row>
    <row r="416" customFormat="false" ht="15" hidden="false" customHeight="false" outlineLevel="0" collapsed="false">
      <c r="A416" s="11"/>
      <c r="B416" s="11"/>
      <c r="C416" s="11"/>
      <c r="D416" s="11"/>
      <c r="E416" s="11"/>
      <c r="F416" s="11"/>
      <c r="G416" s="11"/>
      <c r="H416" s="11"/>
      <c r="I416" s="11"/>
      <c r="J416" s="15"/>
      <c r="K416" s="15"/>
      <c r="L416" s="11"/>
      <c r="M416" s="11"/>
      <c r="N416" s="17" t="str">
        <f aca="false">IF(OR(J416="",K416="",J416=0),"",(J416-K416)/J416)</f>
        <v/>
      </c>
      <c r="O416" s="11"/>
    </row>
    <row r="417" customFormat="false" ht="15" hidden="false" customHeight="false" outlineLevel="0" collapsed="false">
      <c r="A417" s="11"/>
      <c r="B417" s="11"/>
      <c r="C417" s="11"/>
      <c r="D417" s="11"/>
      <c r="E417" s="11"/>
      <c r="F417" s="11"/>
      <c r="G417" s="11"/>
      <c r="H417" s="11"/>
      <c r="I417" s="11"/>
      <c r="J417" s="15"/>
      <c r="K417" s="15"/>
      <c r="L417" s="11"/>
      <c r="M417" s="11"/>
      <c r="N417" s="17" t="str">
        <f aca="false">IF(OR(J417="",K417="",J417=0),"",(J417-K417)/J417)</f>
        <v/>
      </c>
      <c r="O417" s="11"/>
    </row>
    <row r="418" customFormat="false" ht="15" hidden="false" customHeight="false" outlineLevel="0" collapsed="false">
      <c r="A418" s="11"/>
      <c r="B418" s="11"/>
      <c r="C418" s="11"/>
      <c r="D418" s="11"/>
      <c r="E418" s="11"/>
      <c r="F418" s="11"/>
      <c r="G418" s="11"/>
      <c r="H418" s="11"/>
      <c r="I418" s="11"/>
      <c r="J418" s="15"/>
      <c r="K418" s="15"/>
      <c r="L418" s="11"/>
      <c r="M418" s="11"/>
      <c r="N418" s="17" t="str">
        <f aca="false">IF(OR(J418="",K418="",J418=0),"",(J418-K418)/J418)</f>
        <v/>
      </c>
      <c r="O418" s="11"/>
    </row>
    <row r="419" customFormat="false" ht="15" hidden="false" customHeight="false" outlineLevel="0" collapsed="false">
      <c r="A419" s="11"/>
      <c r="B419" s="11"/>
      <c r="C419" s="11"/>
      <c r="D419" s="11"/>
      <c r="E419" s="11"/>
      <c r="F419" s="11"/>
      <c r="G419" s="11"/>
      <c r="H419" s="11"/>
      <c r="I419" s="11"/>
      <c r="J419" s="15"/>
      <c r="K419" s="15"/>
      <c r="L419" s="11"/>
      <c r="M419" s="11"/>
      <c r="N419" s="17" t="str">
        <f aca="false">IF(OR(J419="",K419="",J419=0),"",(J419-K419)/J419)</f>
        <v/>
      </c>
      <c r="O419" s="11"/>
    </row>
    <row r="420" customFormat="false" ht="15" hidden="false" customHeight="false" outlineLevel="0" collapsed="false">
      <c r="A420" s="11"/>
      <c r="B420" s="11"/>
      <c r="C420" s="11"/>
      <c r="D420" s="11"/>
      <c r="E420" s="11"/>
      <c r="F420" s="11"/>
      <c r="G420" s="11"/>
      <c r="H420" s="11"/>
      <c r="I420" s="11"/>
      <c r="J420" s="15"/>
      <c r="K420" s="15"/>
      <c r="L420" s="11"/>
      <c r="M420" s="11"/>
      <c r="N420" s="17" t="str">
        <f aca="false">IF(OR(J420="",K420="",J420=0),"",(J420-K420)/J420)</f>
        <v/>
      </c>
      <c r="O420" s="11"/>
    </row>
    <row r="421" customFormat="false" ht="15" hidden="false" customHeight="false" outlineLevel="0" collapsed="false">
      <c r="A421" s="11"/>
      <c r="B421" s="11"/>
      <c r="C421" s="11"/>
      <c r="D421" s="11"/>
      <c r="E421" s="11"/>
      <c r="F421" s="11"/>
      <c r="G421" s="11"/>
      <c r="H421" s="11"/>
      <c r="I421" s="11"/>
      <c r="J421" s="15"/>
      <c r="K421" s="15"/>
      <c r="L421" s="11"/>
      <c r="M421" s="11"/>
      <c r="N421" s="17" t="str">
        <f aca="false">IF(OR(J421="",K421="",J421=0),"",(J421-K421)/J421)</f>
        <v/>
      </c>
      <c r="O421" s="11"/>
    </row>
    <row r="422" customFormat="false" ht="15" hidden="false" customHeight="false" outlineLevel="0" collapsed="false">
      <c r="A422" s="11"/>
      <c r="B422" s="11"/>
      <c r="C422" s="11"/>
      <c r="D422" s="11"/>
      <c r="E422" s="11"/>
      <c r="F422" s="11"/>
      <c r="G422" s="11"/>
      <c r="H422" s="11"/>
      <c r="I422" s="11"/>
      <c r="J422" s="15"/>
      <c r="K422" s="15"/>
      <c r="L422" s="11"/>
      <c r="M422" s="11"/>
      <c r="N422" s="17" t="str">
        <f aca="false">IF(OR(J422="",K422="",J422=0),"",(J422-K422)/J422)</f>
        <v/>
      </c>
      <c r="O422" s="11"/>
    </row>
    <row r="423" customFormat="false" ht="15" hidden="false" customHeight="false" outlineLevel="0" collapsed="false">
      <c r="A423" s="11"/>
      <c r="B423" s="11"/>
      <c r="C423" s="11"/>
      <c r="D423" s="11"/>
      <c r="E423" s="11"/>
      <c r="F423" s="11"/>
      <c r="G423" s="11"/>
      <c r="H423" s="11"/>
      <c r="I423" s="11"/>
      <c r="J423" s="15"/>
      <c r="K423" s="15"/>
      <c r="L423" s="11"/>
      <c r="M423" s="11"/>
      <c r="N423" s="17" t="str">
        <f aca="false">IF(OR(J423="",K423="",J423=0),"",(J423-K423)/J423)</f>
        <v/>
      </c>
      <c r="O423" s="11"/>
    </row>
    <row r="424" customFormat="false" ht="15" hidden="false" customHeight="false" outlineLevel="0" collapsed="false">
      <c r="A424" s="11"/>
      <c r="B424" s="11"/>
      <c r="C424" s="11"/>
      <c r="D424" s="11"/>
      <c r="E424" s="11"/>
      <c r="F424" s="11"/>
      <c r="G424" s="11"/>
      <c r="H424" s="11"/>
      <c r="I424" s="11"/>
      <c r="J424" s="15"/>
      <c r="K424" s="15"/>
      <c r="L424" s="11"/>
      <c r="M424" s="11"/>
      <c r="N424" s="17" t="str">
        <f aca="false">IF(OR(J424="",K424="",J424=0),"",(J424-K424)/J424)</f>
        <v/>
      </c>
      <c r="O424" s="11"/>
    </row>
    <row r="425" customFormat="false" ht="15" hidden="false" customHeight="false" outlineLevel="0" collapsed="false">
      <c r="A425" s="11"/>
      <c r="B425" s="11"/>
      <c r="C425" s="11"/>
      <c r="D425" s="11"/>
      <c r="E425" s="11"/>
      <c r="F425" s="11"/>
      <c r="G425" s="11"/>
      <c r="H425" s="11"/>
      <c r="I425" s="11"/>
      <c r="J425" s="15"/>
      <c r="K425" s="15"/>
      <c r="L425" s="11"/>
      <c r="M425" s="11"/>
      <c r="N425" s="17" t="str">
        <f aca="false">IF(OR(J425="",K425="",J425=0),"",(J425-K425)/J425)</f>
        <v/>
      </c>
      <c r="O425" s="11"/>
    </row>
    <row r="426" customFormat="false" ht="15" hidden="false" customHeight="false" outlineLevel="0" collapsed="false">
      <c r="A426" s="11"/>
      <c r="B426" s="11"/>
      <c r="C426" s="11"/>
      <c r="D426" s="11"/>
      <c r="E426" s="11"/>
      <c r="F426" s="11"/>
      <c r="G426" s="11"/>
      <c r="H426" s="11"/>
      <c r="I426" s="11"/>
      <c r="J426" s="15"/>
      <c r="K426" s="15"/>
      <c r="L426" s="11"/>
      <c r="M426" s="11"/>
      <c r="N426" s="17" t="str">
        <f aca="false">IF(OR(J426="",K426="",J426=0),"",(J426-K426)/J426)</f>
        <v/>
      </c>
      <c r="O426" s="11"/>
    </row>
    <row r="427" customFormat="false" ht="15" hidden="false" customHeight="false" outlineLevel="0" collapsed="false">
      <c r="A427" s="11"/>
      <c r="B427" s="11"/>
      <c r="C427" s="11"/>
      <c r="D427" s="11"/>
      <c r="E427" s="11"/>
      <c r="F427" s="11"/>
      <c r="G427" s="11"/>
      <c r="H427" s="11"/>
      <c r="I427" s="11"/>
      <c r="J427" s="15"/>
      <c r="K427" s="15"/>
      <c r="L427" s="11"/>
      <c r="M427" s="11"/>
      <c r="N427" s="17" t="str">
        <f aca="false">IF(OR(J427="",K427="",J427=0),"",(J427-K427)/J427)</f>
        <v/>
      </c>
      <c r="O427" s="11"/>
    </row>
    <row r="428" customFormat="false" ht="15" hidden="false" customHeight="false" outlineLevel="0" collapsed="false">
      <c r="A428" s="11"/>
      <c r="B428" s="11"/>
      <c r="C428" s="11"/>
      <c r="D428" s="11"/>
      <c r="E428" s="11"/>
      <c r="F428" s="11"/>
      <c r="G428" s="11"/>
      <c r="H428" s="11"/>
      <c r="I428" s="11"/>
      <c r="J428" s="15"/>
      <c r="K428" s="15"/>
      <c r="L428" s="11"/>
      <c r="M428" s="11"/>
      <c r="N428" s="17" t="str">
        <f aca="false">IF(OR(J428="",K428="",J428=0),"",(J428-K428)/J428)</f>
        <v/>
      </c>
      <c r="O428" s="11"/>
    </row>
    <row r="429" customFormat="false" ht="15" hidden="false" customHeight="false" outlineLevel="0" collapsed="false">
      <c r="A429" s="11"/>
      <c r="B429" s="11"/>
      <c r="C429" s="11"/>
      <c r="D429" s="11"/>
      <c r="E429" s="11"/>
      <c r="F429" s="11"/>
      <c r="G429" s="11"/>
      <c r="H429" s="11"/>
      <c r="I429" s="11"/>
      <c r="J429" s="15"/>
      <c r="K429" s="15"/>
      <c r="L429" s="11"/>
      <c r="M429" s="11"/>
      <c r="N429" s="17" t="str">
        <f aca="false">IF(OR(J429="",K429="",J429=0),"",(J429-K429)/J429)</f>
        <v/>
      </c>
      <c r="O429" s="11"/>
    </row>
    <row r="430" customFormat="false" ht="15" hidden="false" customHeight="false" outlineLevel="0" collapsed="false">
      <c r="A430" s="11"/>
      <c r="B430" s="11"/>
      <c r="C430" s="11"/>
      <c r="D430" s="11"/>
      <c r="E430" s="11"/>
      <c r="F430" s="11"/>
      <c r="G430" s="11"/>
      <c r="H430" s="11"/>
      <c r="I430" s="11"/>
      <c r="J430" s="15"/>
      <c r="K430" s="15"/>
      <c r="L430" s="11"/>
      <c r="M430" s="11"/>
      <c r="N430" s="17" t="str">
        <f aca="false">IF(OR(J430="",K430="",J430=0),"",(J430-K430)/J430)</f>
        <v/>
      </c>
      <c r="O430" s="11"/>
    </row>
    <row r="431" customFormat="false" ht="15" hidden="false" customHeight="false" outlineLevel="0" collapsed="false">
      <c r="A431" s="11"/>
      <c r="B431" s="11"/>
      <c r="C431" s="11"/>
      <c r="D431" s="11"/>
      <c r="E431" s="11"/>
      <c r="F431" s="11"/>
      <c r="G431" s="11"/>
      <c r="H431" s="11"/>
      <c r="I431" s="11"/>
      <c r="J431" s="15"/>
      <c r="K431" s="15"/>
      <c r="L431" s="11"/>
      <c r="M431" s="11"/>
      <c r="N431" s="17" t="str">
        <f aca="false">IF(OR(J431="",K431="",J431=0),"",(J431-K431)/J431)</f>
        <v/>
      </c>
      <c r="O431" s="11"/>
    </row>
    <row r="432" customFormat="false" ht="15" hidden="false" customHeight="false" outlineLevel="0" collapsed="false">
      <c r="A432" s="11"/>
      <c r="B432" s="11"/>
      <c r="C432" s="11"/>
      <c r="D432" s="11"/>
      <c r="E432" s="11"/>
      <c r="F432" s="11"/>
      <c r="G432" s="11"/>
      <c r="H432" s="11"/>
      <c r="I432" s="11"/>
      <c r="J432" s="15"/>
      <c r="K432" s="15"/>
      <c r="L432" s="11"/>
      <c r="M432" s="11"/>
      <c r="N432" s="17" t="str">
        <f aca="false">IF(OR(J432="",K432="",J432=0),"",(J432-K432)/J432)</f>
        <v/>
      </c>
      <c r="O432" s="11"/>
    </row>
    <row r="433" customFormat="false" ht="15" hidden="false" customHeight="false" outlineLevel="0" collapsed="false">
      <c r="A433" s="11"/>
      <c r="B433" s="11"/>
      <c r="C433" s="11"/>
      <c r="D433" s="11"/>
      <c r="E433" s="11"/>
      <c r="F433" s="11"/>
      <c r="G433" s="11"/>
      <c r="H433" s="11"/>
      <c r="I433" s="11"/>
      <c r="J433" s="15"/>
      <c r="K433" s="15"/>
      <c r="L433" s="11"/>
      <c r="M433" s="11"/>
      <c r="N433" s="17" t="str">
        <f aca="false">IF(OR(J433="",K433="",J433=0),"",(J433-K433)/J433)</f>
        <v/>
      </c>
      <c r="O433" s="11"/>
    </row>
    <row r="434" customFormat="false" ht="15" hidden="false" customHeight="false" outlineLevel="0" collapsed="false">
      <c r="A434" s="11"/>
      <c r="B434" s="11"/>
      <c r="C434" s="11"/>
      <c r="D434" s="11"/>
      <c r="E434" s="11"/>
      <c r="F434" s="11"/>
      <c r="G434" s="11"/>
      <c r="H434" s="11"/>
      <c r="I434" s="11"/>
      <c r="J434" s="15"/>
      <c r="K434" s="15"/>
      <c r="L434" s="11"/>
      <c r="M434" s="11"/>
      <c r="N434" s="17" t="str">
        <f aca="false">IF(OR(J434="",K434="",J434=0),"",(J434-K434)/J434)</f>
        <v/>
      </c>
      <c r="O434" s="11"/>
    </row>
    <row r="435" customFormat="false" ht="15" hidden="false" customHeight="false" outlineLevel="0" collapsed="false">
      <c r="A435" s="11"/>
      <c r="B435" s="11"/>
      <c r="C435" s="11"/>
      <c r="D435" s="11"/>
      <c r="E435" s="11"/>
      <c r="F435" s="11"/>
      <c r="G435" s="11"/>
      <c r="H435" s="11"/>
      <c r="I435" s="11"/>
      <c r="J435" s="15"/>
      <c r="K435" s="15"/>
      <c r="L435" s="11"/>
      <c r="M435" s="11"/>
      <c r="N435" s="17" t="str">
        <f aca="false">IF(OR(J435="",K435="",J435=0),"",(J435-K435)/J435)</f>
        <v/>
      </c>
      <c r="O435" s="11"/>
    </row>
    <row r="436" customFormat="false" ht="15" hidden="false" customHeight="false" outlineLevel="0" collapsed="false">
      <c r="A436" s="11"/>
      <c r="B436" s="11"/>
      <c r="C436" s="11"/>
      <c r="D436" s="11"/>
      <c r="E436" s="11"/>
      <c r="F436" s="11"/>
      <c r="G436" s="11"/>
      <c r="H436" s="11"/>
      <c r="I436" s="11"/>
      <c r="J436" s="15"/>
      <c r="K436" s="15"/>
      <c r="L436" s="11"/>
      <c r="M436" s="11"/>
      <c r="N436" s="17" t="str">
        <f aca="false">IF(OR(J436="",K436="",J436=0),"",(J436-K436)/J436)</f>
        <v/>
      </c>
      <c r="O436" s="11"/>
    </row>
    <row r="437" customFormat="false" ht="15" hidden="false" customHeight="false" outlineLevel="0" collapsed="false">
      <c r="A437" s="11"/>
      <c r="B437" s="11"/>
      <c r="C437" s="11"/>
      <c r="D437" s="11"/>
      <c r="E437" s="11"/>
      <c r="F437" s="11"/>
      <c r="G437" s="11"/>
      <c r="H437" s="11"/>
      <c r="I437" s="11"/>
      <c r="J437" s="15"/>
      <c r="K437" s="15"/>
      <c r="L437" s="11"/>
      <c r="M437" s="11"/>
      <c r="N437" s="17" t="str">
        <f aca="false">IF(OR(J437="",K437="",J437=0),"",(J437-K437)/J437)</f>
        <v/>
      </c>
      <c r="O437" s="11"/>
    </row>
    <row r="438" customFormat="false" ht="15" hidden="false" customHeight="false" outlineLevel="0" collapsed="false">
      <c r="A438" s="11"/>
      <c r="B438" s="11"/>
      <c r="C438" s="11"/>
      <c r="D438" s="11"/>
      <c r="E438" s="11"/>
      <c r="F438" s="11"/>
      <c r="G438" s="11"/>
      <c r="H438" s="11"/>
      <c r="I438" s="11"/>
      <c r="J438" s="15"/>
      <c r="K438" s="15"/>
      <c r="L438" s="11"/>
      <c r="M438" s="11"/>
      <c r="N438" s="17" t="str">
        <f aca="false">IF(OR(J438="",K438="",J438=0),"",(J438-K438)/J438)</f>
        <v/>
      </c>
      <c r="O438" s="11"/>
    </row>
    <row r="439" customFormat="false" ht="15" hidden="false" customHeight="false" outlineLevel="0" collapsed="false">
      <c r="A439" s="11"/>
      <c r="B439" s="11"/>
      <c r="C439" s="11"/>
      <c r="D439" s="11"/>
      <c r="E439" s="11"/>
      <c r="F439" s="11"/>
      <c r="G439" s="11"/>
      <c r="H439" s="11"/>
      <c r="I439" s="11"/>
      <c r="J439" s="15"/>
      <c r="K439" s="15"/>
      <c r="L439" s="11"/>
      <c r="M439" s="11"/>
      <c r="N439" s="17" t="str">
        <f aca="false">IF(OR(J439="",K439="",J439=0),"",(J439-K439)/J439)</f>
        <v/>
      </c>
      <c r="O439" s="11"/>
    </row>
    <row r="440" customFormat="false" ht="15" hidden="false" customHeight="false" outlineLevel="0" collapsed="false">
      <c r="A440" s="11"/>
      <c r="B440" s="11"/>
      <c r="C440" s="11"/>
      <c r="D440" s="11"/>
      <c r="E440" s="11"/>
      <c r="F440" s="11"/>
      <c r="G440" s="11"/>
      <c r="H440" s="11"/>
      <c r="I440" s="11"/>
      <c r="J440" s="15"/>
      <c r="K440" s="15"/>
      <c r="L440" s="11"/>
      <c r="M440" s="11"/>
      <c r="N440" s="17" t="str">
        <f aca="false">IF(OR(J440="",K440="",J440=0),"",(J440-K440)/J440)</f>
        <v/>
      </c>
      <c r="O440" s="11"/>
    </row>
    <row r="441" customFormat="false" ht="15" hidden="false" customHeight="false" outlineLevel="0" collapsed="false">
      <c r="A441" s="11"/>
      <c r="B441" s="11"/>
      <c r="C441" s="11"/>
      <c r="D441" s="11"/>
      <c r="E441" s="11"/>
      <c r="F441" s="11"/>
      <c r="G441" s="11"/>
      <c r="H441" s="11"/>
      <c r="I441" s="11"/>
      <c r="J441" s="15"/>
      <c r="K441" s="15"/>
      <c r="L441" s="11"/>
      <c r="M441" s="11"/>
      <c r="N441" s="17" t="str">
        <f aca="false">IF(OR(J441="",K441="",J441=0),"",(J441-K441)/J441)</f>
        <v/>
      </c>
      <c r="O441" s="11"/>
    </row>
    <row r="442" customFormat="false" ht="15" hidden="false" customHeight="false" outlineLevel="0" collapsed="false">
      <c r="A442" s="11"/>
      <c r="B442" s="11"/>
      <c r="C442" s="11"/>
      <c r="D442" s="11"/>
      <c r="E442" s="11"/>
      <c r="F442" s="11"/>
      <c r="G442" s="11"/>
      <c r="H442" s="11"/>
      <c r="I442" s="11"/>
      <c r="J442" s="15"/>
      <c r="K442" s="15"/>
      <c r="L442" s="11"/>
      <c r="M442" s="11"/>
      <c r="N442" s="17" t="str">
        <f aca="false">IF(OR(J442="",K442="",J442=0),"",(J442-K442)/J442)</f>
        <v/>
      </c>
      <c r="O442" s="11"/>
    </row>
    <row r="443" customFormat="false" ht="15" hidden="false" customHeight="false" outlineLevel="0" collapsed="false">
      <c r="A443" s="11"/>
      <c r="B443" s="11"/>
      <c r="C443" s="11"/>
      <c r="D443" s="11"/>
      <c r="E443" s="11"/>
      <c r="F443" s="11"/>
      <c r="G443" s="11"/>
      <c r="H443" s="11"/>
      <c r="I443" s="11"/>
      <c r="J443" s="15"/>
      <c r="K443" s="15"/>
      <c r="L443" s="11"/>
      <c r="M443" s="11"/>
      <c r="N443" s="17" t="str">
        <f aca="false">IF(OR(J443="",K443="",J443=0),"",(J443-K443)/J443)</f>
        <v/>
      </c>
      <c r="O443" s="11"/>
    </row>
    <row r="444" customFormat="false" ht="15" hidden="false" customHeight="false" outlineLevel="0" collapsed="false">
      <c r="A444" s="11"/>
      <c r="B444" s="11"/>
      <c r="C444" s="11"/>
      <c r="D444" s="11"/>
      <c r="E444" s="11"/>
      <c r="F444" s="11"/>
      <c r="G444" s="11"/>
      <c r="H444" s="11"/>
      <c r="I444" s="11"/>
      <c r="J444" s="15"/>
      <c r="K444" s="15"/>
      <c r="L444" s="11"/>
      <c r="M444" s="11"/>
      <c r="N444" s="17" t="str">
        <f aca="false">IF(OR(J444="",K444="",J444=0),"",(J444-K444)/J444)</f>
        <v/>
      </c>
      <c r="O444" s="11"/>
    </row>
    <row r="445" customFormat="false" ht="15" hidden="false" customHeight="false" outlineLevel="0" collapsed="false">
      <c r="A445" s="11"/>
      <c r="B445" s="11"/>
      <c r="C445" s="11"/>
      <c r="D445" s="11"/>
      <c r="E445" s="11"/>
      <c r="F445" s="11"/>
      <c r="G445" s="11"/>
      <c r="H445" s="11"/>
      <c r="I445" s="11"/>
      <c r="J445" s="15"/>
      <c r="K445" s="15"/>
      <c r="L445" s="11"/>
      <c r="M445" s="11"/>
      <c r="N445" s="17" t="str">
        <f aca="false">IF(OR(J445="",K445="",J445=0),"",(J445-K445)/J445)</f>
        <v/>
      </c>
      <c r="O445" s="11"/>
    </row>
    <row r="446" customFormat="false" ht="15" hidden="false" customHeight="false" outlineLevel="0" collapsed="false">
      <c r="A446" s="11"/>
      <c r="B446" s="11"/>
      <c r="C446" s="11"/>
      <c r="D446" s="11"/>
      <c r="E446" s="11"/>
      <c r="F446" s="11"/>
      <c r="G446" s="11"/>
      <c r="H446" s="11"/>
      <c r="I446" s="11"/>
      <c r="J446" s="15"/>
      <c r="K446" s="15"/>
      <c r="L446" s="11"/>
      <c r="M446" s="11"/>
      <c r="N446" s="17" t="str">
        <f aca="false">IF(OR(J446="",K446="",J446=0),"",(J446-K446)/J446)</f>
        <v/>
      </c>
      <c r="O446" s="11"/>
    </row>
    <row r="447" customFormat="false" ht="15" hidden="false" customHeight="false" outlineLevel="0" collapsed="false">
      <c r="A447" s="11"/>
      <c r="B447" s="11"/>
      <c r="C447" s="11"/>
      <c r="D447" s="11"/>
      <c r="E447" s="11"/>
      <c r="F447" s="11"/>
      <c r="G447" s="11"/>
      <c r="H447" s="11"/>
      <c r="I447" s="11"/>
      <c r="J447" s="15"/>
      <c r="K447" s="15"/>
      <c r="L447" s="11"/>
      <c r="M447" s="11"/>
      <c r="N447" s="17" t="str">
        <f aca="false">IF(OR(J447="",K447="",J447=0),"",(J447-K447)/J447)</f>
        <v/>
      </c>
      <c r="O447" s="11"/>
    </row>
    <row r="448" customFormat="false" ht="15" hidden="false" customHeight="false" outlineLevel="0" collapsed="false">
      <c r="A448" s="11"/>
      <c r="B448" s="11"/>
      <c r="C448" s="11"/>
      <c r="D448" s="11"/>
      <c r="E448" s="11"/>
      <c r="F448" s="11"/>
      <c r="G448" s="11"/>
      <c r="H448" s="11"/>
      <c r="I448" s="11"/>
      <c r="J448" s="15"/>
      <c r="K448" s="15"/>
      <c r="L448" s="11"/>
      <c r="M448" s="11"/>
      <c r="N448" s="17" t="str">
        <f aca="false">IF(OR(J448="",K448="",J448=0),"",(J448-K448)/J448)</f>
        <v/>
      </c>
      <c r="O448" s="11"/>
    </row>
    <row r="449" customFormat="false" ht="15" hidden="false" customHeight="false" outlineLevel="0" collapsed="false">
      <c r="A449" s="11"/>
      <c r="B449" s="11"/>
      <c r="C449" s="11"/>
      <c r="D449" s="11"/>
      <c r="E449" s="11"/>
      <c r="F449" s="11"/>
      <c r="G449" s="11"/>
      <c r="H449" s="11"/>
      <c r="I449" s="11"/>
      <c r="J449" s="15"/>
      <c r="K449" s="15"/>
      <c r="L449" s="11"/>
      <c r="M449" s="11"/>
      <c r="N449" s="17" t="str">
        <f aca="false">IF(OR(J449="",K449="",J449=0),"",(J449-K449)/J449)</f>
        <v/>
      </c>
      <c r="O449" s="11"/>
    </row>
    <row r="450" customFormat="false" ht="15" hidden="false" customHeight="false" outlineLevel="0" collapsed="false">
      <c r="A450" s="11"/>
      <c r="B450" s="11"/>
      <c r="C450" s="11"/>
      <c r="D450" s="11"/>
      <c r="E450" s="11"/>
      <c r="F450" s="11"/>
      <c r="G450" s="11"/>
      <c r="H450" s="11"/>
      <c r="I450" s="11"/>
      <c r="J450" s="15"/>
      <c r="K450" s="15"/>
      <c r="L450" s="11"/>
      <c r="M450" s="11"/>
      <c r="N450" s="17" t="str">
        <f aca="false">IF(OR(J450="",K450="",J450=0),"",(J450-K450)/J450)</f>
        <v/>
      </c>
      <c r="O450" s="11"/>
    </row>
    <row r="451" customFormat="false" ht="15" hidden="false" customHeight="false" outlineLevel="0" collapsed="false">
      <c r="A451" s="11"/>
      <c r="B451" s="11"/>
      <c r="C451" s="11"/>
      <c r="D451" s="11"/>
      <c r="E451" s="11"/>
      <c r="F451" s="11"/>
      <c r="G451" s="11"/>
      <c r="H451" s="11"/>
      <c r="I451" s="11"/>
      <c r="J451" s="15"/>
      <c r="K451" s="15"/>
      <c r="L451" s="11"/>
      <c r="M451" s="11"/>
      <c r="N451" s="17" t="str">
        <f aca="false">IF(OR(J451="",K451="",J451=0),"",(J451-K451)/J451)</f>
        <v/>
      </c>
      <c r="O451" s="11"/>
    </row>
    <row r="452" customFormat="false" ht="15" hidden="false" customHeight="false" outlineLevel="0" collapsed="false">
      <c r="A452" s="11"/>
      <c r="B452" s="11"/>
      <c r="C452" s="11"/>
      <c r="D452" s="11"/>
      <c r="E452" s="11"/>
      <c r="F452" s="11"/>
      <c r="G452" s="11"/>
      <c r="H452" s="11"/>
      <c r="I452" s="11"/>
      <c r="J452" s="15"/>
      <c r="K452" s="15"/>
      <c r="L452" s="11"/>
      <c r="M452" s="11"/>
      <c r="N452" s="17" t="str">
        <f aca="false">IF(OR(J452="",K452="",J452=0),"",(J452-K452)/J452)</f>
        <v/>
      </c>
      <c r="O452" s="11"/>
    </row>
    <row r="453" customFormat="false" ht="15" hidden="false" customHeight="false" outlineLevel="0" collapsed="false">
      <c r="A453" s="11"/>
      <c r="B453" s="11"/>
      <c r="C453" s="11"/>
      <c r="D453" s="11"/>
      <c r="E453" s="11"/>
      <c r="F453" s="11"/>
      <c r="G453" s="11"/>
      <c r="H453" s="11"/>
      <c r="I453" s="11"/>
      <c r="J453" s="15"/>
      <c r="K453" s="15"/>
      <c r="L453" s="11"/>
      <c r="M453" s="11"/>
      <c r="N453" s="17" t="str">
        <f aca="false">IF(OR(J453="",K453="",J453=0),"",(J453-K453)/J453)</f>
        <v/>
      </c>
      <c r="O453" s="11"/>
    </row>
    <row r="454" customFormat="false" ht="15" hidden="false" customHeight="false" outlineLevel="0" collapsed="false">
      <c r="A454" s="11"/>
      <c r="B454" s="11"/>
      <c r="C454" s="11"/>
      <c r="D454" s="11"/>
      <c r="E454" s="11"/>
      <c r="F454" s="11"/>
      <c r="G454" s="11"/>
      <c r="H454" s="11"/>
      <c r="I454" s="11"/>
      <c r="J454" s="15"/>
      <c r="K454" s="15"/>
      <c r="L454" s="11"/>
      <c r="M454" s="11"/>
      <c r="N454" s="17" t="str">
        <f aca="false">IF(OR(J454="",K454="",J454=0),"",(J454-K454)/J454)</f>
        <v/>
      </c>
      <c r="O454" s="11"/>
    </row>
    <row r="455" customFormat="false" ht="15" hidden="false" customHeight="false" outlineLevel="0" collapsed="false">
      <c r="A455" s="11"/>
      <c r="B455" s="11"/>
      <c r="C455" s="11"/>
      <c r="D455" s="11"/>
      <c r="E455" s="11"/>
      <c r="F455" s="11"/>
      <c r="G455" s="11"/>
      <c r="H455" s="11"/>
      <c r="I455" s="11"/>
      <c r="J455" s="15"/>
      <c r="K455" s="15"/>
      <c r="L455" s="11"/>
      <c r="M455" s="11"/>
      <c r="N455" s="17" t="str">
        <f aca="false">IF(OR(J455="",K455="",J455=0),"",(J455-K455)/J455)</f>
        <v/>
      </c>
      <c r="O455" s="11"/>
    </row>
    <row r="456" customFormat="false" ht="15" hidden="false" customHeight="false" outlineLevel="0" collapsed="false">
      <c r="A456" s="11"/>
      <c r="B456" s="11"/>
      <c r="C456" s="11"/>
      <c r="D456" s="11"/>
      <c r="E456" s="11"/>
      <c r="F456" s="11"/>
      <c r="G456" s="11"/>
      <c r="H456" s="11"/>
      <c r="I456" s="11"/>
      <c r="J456" s="15"/>
      <c r="K456" s="15"/>
      <c r="L456" s="11"/>
      <c r="M456" s="11"/>
      <c r="N456" s="17" t="str">
        <f aca="false">IF(OR(J456="",K456="",J456=0),"",(J456-K456)/J456)</f>
        <v/>
      </c>
      <c r="O456" s="11"/>
    </row>
    <row r="457" customFormat="false" ht="15" hidden="false" customHeight="false" outlineLevel="0" collapsed="false">
      <c r="A457" s="11"/>
      <c r="B457" s="11"/>
      <c r="C457" s="11"/>
      <c r="D457" s="11"/>
      <c r="E457" s="11"/>
      <c r="F457" s="11"/>
      <c r="G457" s="11"/>
      <c r="H457" s="11"/>
      <c r="I457" s="11"/>
      <c r="J457" s="15"/>
      <c r="K457" s="15"/>
      <c r="L457" s="11"/>
      <c r="M457" s="11"/>
      <c r="N457" s="17" t="str">
        <f aca="false">IF(OR(J457="",K457="",J457=0),"",(J457-K457)/J457)</f>
        <v/>
      </c>
      <c r="O457" s="11"/>
    </row>
    <row r="458" customFormat="false" ht="15" hidden="false" customHeight="false" outlineLevel="0" collapsed="false">
      <c r="A458" s="11"/>
      <c r="B458" s="11"/>
      <c r="C458" s="11"/>
      <c r="D458" s="11"/>
      <c r="E458" s="11"/>
      <c r="F458" s="11"/>
      <c r="G458" s="11"/>
      <c r="H458" s="11"/>
      <c r="I458" s="11"/>
      <c r="J458" s="15"/>
      <c r="K458" s="15"/>
      <c r="L458" s="11"/>
      <c r="M458" s="11"/>
      <c r="N458" s="17" t="str">
        <f aca="false">IF(OR(J458="",K458="",J458=0),"",(J458-K458)/J458)</f>
        <v/>
      </c>
      <c r="O458" s="11"/>
    </row>
    <row r="459" customFormat="false" ht="15" hidden="false" customHeight="false" outlineLevel="0" collapsed="false">
      <c r="A459" s="11"/>
      <c r="B459" s="11"/>
      <c r="C459" s="11"/>
      <c r="D459" s="11"/>
      <c r="E459" s="11"/>
      <c r="F459" s="11"/>
      <c r="G459" s="11"/>
      <c r="H459" s="11"/>
      <c r="I459" s="11"/>
      <c r="J459" s="15"/>
      <c r="K459" s="15"/>
      <c r="L459" s="11"/>
      <c r="M459" s="11"/>
      <c r="N459" s="17" t="str">
        <f aca="false">IF(OR(J459="",K459="",J459=0),"",(J459-K459)/J459)</f>
        <v/>
      </c>
      <c r="O459" s="11"/>
    </row>
    <row r="460" customFormat="false" ht="15" hidden="false" customHeight="false" outlineLevel="0" collapsed="false">
      <c r="A460" s="11"/>
      <c r="B460" s="11"/>
      <c r="C460" s="11"/>
      <c r="D460" s="11"/>
      <c r="E460" s="11"/>
      <c r="F460" s="11"/>
      <c r="G460" s="11"/>
      <c r="H460" s="11"/>
      <c r="I460" s="11"/>
      <c r="J460" s="15"/>
      <c r="K460" s="15"/>
      <c r="L460" s="11"/>
      <c r="M460" s="11"/>
      <c r="N460" s="17" t="str">
        <f aca="false">IF(OR(J460="",K460="",J460=0),"",(J460-K460)/J460)</f>
        <v/>
      </c>
      <c r="O460" s="11"/>
    </row>
    <row r="461" customFormat="false" ht="15" hidden="false" customHeight="false" outlineLevel="0" collapsed="false">
      <c r="A461" s="11"/>
      <c r="B461" s="11"/>
      <c r="C461" s="11"/>
      <c r="D461" s="11"/>
      <c r="E461" s="11"/>
      <c r="F461" s="11"/>
      <c r="G461" s="11"/>
      <c r="H461" s="11"/>
      <c r="I461" s="11"/>
      <c r="J461" s="15"/>
      <c r="K461" s="15"/>
      <c r="L461" s="11"/>
      <c r="M461" s="11"/>
      <c r="N461" s="17" t="str">
        <f aca="false">IF(OR(J461="",K461="",J461=0),"",(J461-K461)/J461)</f>
        <v/>
      </c>
      <c r="O461" s="11"/>
    </row>
    <row r="462" customFormat="false" ht="15" hidden="false" customHeight="false" outlineLevel="0" collapsed="false">
      <c r="A462" s="11"/>
      <c r="B462" s="11"/>
      <c r="C462" s="11"/>
      <c r="D462" s="11"/>
      <c r="E462" s="11"/>
      <c r="F462" s="11"/>
      <c r="G462" s="11"/>
      <c r="H462" s="11"/>
      <c r="I462" s="11"/>
      <c r="J462" s="15"/>
      <c r="K462" s="15"/>
      <c r="L462" s="11"/>
      <c r="M462" s="11"/>
      <c r="N462" s="17" t="str">
        <f aca="false">IF(OR(J462="",K462="",J462=0),"",(J462-K462)/J462)</f>
        <v/>
      </c>
      <c r="O462" s="11"/>
    </row>
    <row r="463" customFormat="false" ht="15" hidden="false" customHeight="false" outlineLevel="0" collapsed="false">
      <c r="A463" s="11"/>
      <c r="B463" s="11"/>
      <c r="C463" s="11"/>
      <c r="D463" s="11"/>
      <c r="E463" s="11"/>
      <c r="F463" s="11"/>
      <c r="G463" s="11"/>
      <c r="H463" s="11"/>
      <c r="I463" s="11"/>
      <c r="J463" s="15"/>
      <c r="K463" s="15"/>
      <c r="L463" s="11"/>
      <c r="M463" s="11"/>
      <c r="N463" s="17" t="str">
        <f aca="false">IF(OR(J463="",K463="",J463=0),"",(J463-K463)/J463)</f>
        <v/>
      </c>
      <c r="O463" s="11"/>
    </row>
    <row r="464" customFormat="false" ht="15" hidden="false" customHeight="false" outlineLevel="0" collapsed="false">
      <c r="A464" s="11"/>
      <c r="B464" s="11"/>
      <c r="C464" s="11"/>
      <c r="D464" s="11"/>
      <c r="E464" s="11"/>
      <c r="F464" s="11"/>
      <c r="G464" s="11"/>
      <c r="H464" s="11"/>
      <c r="I464" s="11"/>
      <c r="J464" s="15"/>
      <c r="K464" s="15"/>
      <c r="L464" s="11"/>
      <c r="M464" s="11"/>
      <c r="N464" s="17" t="str">
        <f aca="false">IF(OR(J464="",K464="",J464=0),"",(J464-K464)/J464)</f>
        <v/>
      </c>
      <c r="O464" s="11"/>
    </row>
    <row r="465" customFormat="false" ht="15" hidden="false" customHeight="false" outlineLevel="0" collapsed="false">
      <c r="A465" s="11"/>
      <c r="B465" s="11"/>
      <c r="C465" s="11"/>
      <c r="D465" s="11"/>
      <c r="E465" s="11"/>
      <c r="F465" s="11"/>
      <c r="G465" s="11"/>
      <c r="H465" s="11"/>
      <c r="I465" s="11"/>
      <c r="J465" s="15"/>
      <c r="K465" s="15"/>
      <c r="L465" s="11"/>
      <c r="M465" s="11"/>
      <c r="N465" s="17" t="str">
        <f aca="false">IF(OR(J465="",K465="",J465=0),"",(J465-K465)/J465)</f>
        <v/>
      </c>
      <c r="O465" s="11"/>
    </row>
    <row r="466" customFormat="false" ht="15" hidden="false" customHeight="false" outlineLevel="0" collapsed="false">
      <c r="A466" s="11"/>
      <c r="B466" s="11"/>
      <c r="C466" s="11"/>
      <c r="D466" s="11"/>
      <c r="E466" s="11"/>
      <c r="F466" s="11"/>
      <c r="G466" s="11"/>
      <c r="H466" s="11"/>
      <c r="I466" s="11"/>
      <c r="J466" s="15"/>
      <c r="K466" s="15"/>
      <c r="L466" s="11"/>
      <c r="M466" s="11"/>
      <c r="N466" s="17" t="str">
        <f aca="false">IF(OR(J466="",K466="",J466=0),"",(J466-K466)/J466)</f>
        <v/>
      </c>
      <c r="O466" s="11"/>
    </row>
    <row r="467" customFormat="false" ht="15" hidden="false" customHeight="false" outlineLevel="0" collapsed="false">
      <c r="A467" s="11"/>
      <c r="B467" s="11"/>
      <c r="C467" s="11"/>
      <c r="D467" s="11"/>
      <c r="E467" s="11"/>
      <c r="F467" s="11"/>
      <c r="G467" s="11"/>
      <c r="H467" s="11"/>
      <c r="I467" s="11"/>
      <c r="J467" s="15"/>
      <c r="K467" s="15"/>
      <c r="L467" s="11"/>
      <c r="M467" s="11"/>
      <c r="N467" s="17" t="str">
        <f aca="false">IF(OR(J467="",K467="",J467=0),"",(J467-K467)/J467)</f>
        <v/>
      </c>
      <c r="O467" s="11"/>
    </row>
    <row r="468" customFormat="false" ht="15" hidden="false" customHeight="false" outlineLevel="0" collapsed="false">
      <c r="A468" s="11"/>
      <c r="B468" s="11"/>
      <c r="C468" s="11"/>
      <c r="D468" s="11"/>
      <c r="E468" s="11"/>
      <c r="F468" s="11"/>
      <c r="G468" s="11"/>
      <c r="H468" s="11"/>
      <c r="I468" s="11"/>
      <c r="J468" s="15"/>
      <c r="K468" s="15"/>
      <c r="L468" s="11"/>
      <c r="M468" s="11"/>
      <c r="N468" s="17" t="str">
        <f aca="false">IF(OR(J468="",K468="",J468=0),"",(J468-K468)/J468)</f>
        <v/>
      </c>
      <c r="O468" s="11"/>
    </row>
    <row r="469" customFormat="false" ht="15" hidden="false" customHeight="false" outlineLevel="0" collapsed="false">
      <c r="A469" s="11"/>
      <c r="B469" s="11"/>
      <c r="C469" s="11"/>
      <c r="D469" s="11"/>
      <c r="E469" s="11"/>
      <c r="F469" s="11"/>
      <c r="G469" s="11"/>
      <c r="H469" s="11"/>
      <c r="I469" s="11"/>
      <c r="J469" s="15"/>
      <c r="K469" s="15"/>
      <c r="L469" s="11"/>
      <c r="M469" s="11"/>
      <c r="N469" s="17" t="str">
        <f aca="false">IF(OR(J469="",K469="",J469=0),"",(J469-K469)/J469)</f>
        <v/>
      </c>
      <c r="O469" s="11"/>
    </row>
    <row r="470" customFormat="false" ht="15" hidden="false" customHeight="false" outlineLevel="0" collapsed="false">
      <c r="A470" s="11"/>
      <c r="B470" s="11"/>
      <c r="C470" s="11"/>
      <c r="D470" s="11"/>
      <c r="E470" s="11"/>
      <c r="F470" s="11"/>
      <c r="G470" s="11"/>
      <c r="H470" s="11"/>
      <c r="I470" s="11"/>
      <c r="J470" s="15"/>
      <c r="K470" s="15"/>
      <c r="L470" s="11"/>
      <c r="M470" s="11"/>
      <c r="N470" s="17" t="str">
        <f aca="false">IF(OR(J470="",K470="",J470=0),"",(J470-K470)/J470)</f>
        <v/>
      </c>
      <c r="O470" s="11"/>
    </row>
    <row r="471" customFormat="false" ht="15" hidden="false" customHeight="false" outlineLevel="0" collapsed="false">
      <c r="A471" s="11"/>
      <c r="B471" s="11"/>
      <c r="C471" s="11"/>
      <c r="D471" s="11"/>
      <c r="E471" s="11"/>
      <c r="F471" s="11"/>
      <c r="G471" s="11"/>
      <c r="H471" s="11"/>
      <c r="I471" s="11"/>
      <c r="J471" s="15"/>
      <c r="K471" s="15"/>
      <c r="L471" s="11"/>
      <c r="M471" s="11"/>
      <c r="N471" s="17" t="str">
        <f aca="false">IF(OR(J471="",K471="",J471=0),"",(J471-K471)/J471)</f>
        <v/>
      </c>
      <c r="O471" s="11"/>
    </row>
    <row r="472" customFormat="false" ht="15" hidden="false" customHeight="false" outlineLevel="0" collapsed="false">
      <c r="A472" s="11"/>
      <c r="B472" s="11"/>
      <c r="C472" s="11"/>
      <c r="D472" s="11"/>
      <c r="E472" s="11"/>
      <c r="F472" s="11"/>
      <c r="G472" s="11"/>
      <c r="H472" s="11"/>
      <c r="I472" s="11"/>
      <c r="J472" s="15"/>
      <c r="K472" s="15"/>
      <c r="L472" s="11"/>
      <c r="M472" s="11"/>
      <c r="N472" s="17" t="str">
        <f aca="false">IF(OR(J472="",K472="",J472=0),"",(J472-K472)/J472)</f>
        <v/>
      </c>
      <c r="O472" s="11"/>
    </row>
    <row r="473" customFormat="false" ht="15" hidden="false" customHeight="false" outlineLevel="0" collapsed="false">
      <c r="A473" s="11"/>
      <c r="B473" s="11"/>
      <c r="C473" s="11"/>
      <c r="D473" s="11"/>
      <c r="E473" s="11"/>
      <c r="F473" s="11"/>
      <c r="G473" s="11"/>
      <c r="H473" s="11"/>
      <c r="I473" s="11"/>
      <c r="J473" s="15"/>
      <c r="K473" s="15"/>
      <c r="L473" s="11"/>
      <c r="M473" s="11"/>
      <c r="N473" s="17" t="str">
        <f aca="false">IF(OR(J473="",K473="",J473=0),"",(J473-K473)/J473)</f>
        <v/>
      </c>
      <c r="O473" s="11"/>
    </row>
    <row r="474" customFormat="false" ht="15" hidden="false" customHeight="false" outlineLevel="0" collapsed="false">
      <c r="A474" s="11"/>
      <c r="B474" s="11"/>
      <c r="C474" s="11"/>
      <c r="D474" s="11"/>
      <c r="E474" s="11"/>
      <c r="F474" s="11"/>
      <c r="G474" s="11"/>
      <c r="H474" s="11"/>
      <c r="I474" s="11"/>
      <c r="J474" s="15"/>
      <c r="K474" s="15"/>
      <c r="L474" s="11"/>
      <c r="M474" s="11"/>
      <c r="N474" s="17" t="str">
        <f aca="false">IF(OR(J474="",K474="",J474=0),"",(J474-K474)/J474)</f>
        <v/>
      </c>
      <c r="O474" s="11"/>
    </row>
    <row r="475" customFormat="false" ht="15" hidden="false" customHeight="false" outlineLevel="0" collapsed="false">
      <c r="A475" s="11"/>
      <c r="B475" s="11"/>
      <c r="C475" s="11"/>
      <c r="D475" s="11"/>
      <c r="E475" s="11"/>
      <c r="F475" s="11"/>
      <c r="G475" s="11"/>
      <c r="H475" s="11"/>
      <c r="I475" s="11"/>
      <c r="J475" s="15"/>
      <c r="K475" s="15"/>
      <c r="L475" s="11"/>
      <c r="M475" s="11"/>
      <c r="N475" s="17" t="str">
        <f aca="false">IF(OR(J475="",K475="",J475=0),"",(J475-K475)/J475)</f>
        <v/>
      </c>
      <c r="O475" s="11"/>
    </row>
    <row r="476" customFormat="false" ht="15" hidden="false" customHeight="false" outlineLevel="0" collapsed="false">
      <c r="A476" s="11"/>
      <c r="B476" s="11"/>
      <c r="C476" s="11"/>
      <c r="D476" s="11"/>
      <c r="E476" s="11"/>
      <c r="F476" s="11"/>
      <c r="G476" s="11"/>
      <c r="H476" s="11"/>
      <c r="I476" s="11"/>
      <c r="J476" s="15"/>
      <c r="K476" s="15"/>
      <c r="L476" s="11"/>
      <c r="M476" s="11"/>
      <c r="N476" s="17" t="str">
        <f aca="false">IF(OR(J476="",K476="",J476=0),"",(J476-K476)/J476)</f>
        <v/>
      </c>
      <c r="O476" s="11"/>
    </row>
    <row r="477" customFormat="false" ht="15" hidden="false" customHeight="false" outlineLevel="0" collapsed="false">
      <c r="A477" s="11"/>
      <c r="B477" s="11"/>
      <c r="C477" s="11"/>
      <c r="D477" s="11"/>
      <c r="E477" s="11"/>
      <c r="F477" s="11"/>
      <c r="G477" s="11"/>
      <c r="H477" s="11"/>
      <c r="I477" s="11"/>
      <c r="J477" s="15"/>
      <c r="K477" s="15"/>
      <c r="L477" s="11"/>
      <c r="M477" s="11"/>
      <c r="N477" s="17" t="str">
        <f aca="false">IF(OR(J477="",K477="",J477=0),"",(J477-K477)/J477)</f>
        <v/>
      </c>
      <c r="O477" s="11"/>
    </row>
    <row r="478" customFormat="false" ht="15" hidden="false" customHeight="false" outlineLevel="0" collapsed="false">
      <c r="A478" s="11"/>
      <c r="B478" s="11"/>
      <c r="C478" s="11"/>
      <c r="D478" s="11"/>
      <c r="E478" s="11"/>
      <c r="F478" s="11"/>
      <c r="G478" s="11"/>
      <c r="H478" s="11"/>
      <c r="I478" s="11"/>
      <c r="J478" s="15"/>
      <c r="K478" s="15"/>
      <c r="L478" s="11"/>
      <c r="M478" s="11"/>
      <c r="N478" s="17" t="str">
        <f aca="false">IF(OR(J478="",K478="",J478=0),"",(J478-K478)/J478)</f>
        <v/>
      </c>
      <c r="O478" s="11"/>
    </row>
    <row r="479" customFormat="false" ht="15" hidden="false" customHeight="false" outlineLevel="0" collapsed="false">
      <c r="A479" s="11"/>
      <c r="B479" s="11"/>
      <c r="C479" s="11"/>
      <c r="D479" s="11"/>
      <c r="E479" s="11"/>
      <c r="F479" s="11"/>
      <c r="G479" s="11"/>
      <c r="H479" s="11"/>
      <c r="I479" s="11"/>
      <c r="J479" s="15"/>
      <c r="K479" s="15"/>
      <c r="L479" s="11"/>
      <c r="M479" s="11"/>
      <c r="N479" s="17" t="str">
        <f aca="false">IF(OR(J479="",K479="",J479=0),"",(J479-K479)/J479)</f>
        <v/>
      </c>
      <c r="O479" s="11"/>
    </row>
    <row r="480" customFormat="false" ht="15" hidden="false" customHeight="false" outlineLevel="0" collapsed="false">
      <c r="A480" s="11"/>
      <c r="B480" s="11"/>
      <c r="C480" s="11"/>
      <c r="D480" s="11"/>
      <c r="E480" s="11"/>
      <c r="F480" s="11"/>
      <c r="G480" s="11"/>
      <c r="H480" s="11"/>
      <c r="I480" s="11"/>
      <c r="J480" s="15"/>
      <c r="K480" s="15"/>
      <c r="L480" s="11"/>
      <c r="M480" s="11"/>
      <c r="N480" s="17" t="str">
        <f aca="false">IF(OR(J480="",K480="",J480=0),"",(J480-K480)/J480)</f>
        <v/>
      </c>
      <c r="O480" s="11"/>
    </row>
    <row r="481" customFormat="false" ht="15" hidden="false" customHeight="false" outlineLevel="0" collapsed="false">
      <c r="A481" s="11"/>
      <c r="B481" s="11"/>
      <c r="C481" s="11"/>
      <c r="D481" s="11"/>
      <c r="E481" s="11"/>
      <c r="F481" s="11"/>
      <c r="G481" s="11"/>
      <c r="H481" s="11"/>
      <c r="I481" s="11"/>
      <c r="J481" s="15"/>
      <c r="K481" s="15"/>
      <c r="L481" s="11"/>
      <c r="M481" s="11"/>
      <c r="N481" s="17" t="str">
        <f aca="false">IF(OR(J481="",K481="",J481=0),"",(J481-K481)/J481)</f>
        <v/>
      </c>
      <c r="O481" s="11"/>
    </row>
    <row r="482" customFormat="false" ht="15" hidden="false" customHeight="false" outlineLevel="0" collapsed="false">
      <c r="A482" s="11"/>
      <c r="B482" s="11"/>
      <c r="C482" s="11"/>
      <c r="D482" s="11"/>
      <c r="E482" s="11"/>
      <c r="F482" s="11"/>
      <c r="G482" s="11"/>
      <c r="H482" s="11"/>
      <c r="I482" s="11"/>
      <c r="J482" s="15"/>
      <c r="K482" s="15"/>
      <c r="L482" s="11"/>
      <c r="M482" s="11"/>
      <c r="N482" s="17" t="str">
        <f aca="false">IF(OR(J482="",K482="",J482=0),"",(J482-K482)/J482)</f>
        <v/>
      </c>
      <c r="O482" s="11"/>
    </row>
    <row r="483" customFormat="false" ht="15" hidden="false" customHeight="false" outlineLevel="0" collapsed="false">
      <c r="A483" s="11"/>
      <c r="B483" s="11"/>
      <c r="C483" s="11"/>
      <c r="D483" s="11"/>
      <c r="E483" s="11"/>
      <c r="F483" s="11"/>
      <c r="G483" s="11"/>
      <c r="H483" s="11"/>
      <c r="I483" s="11"/>
      <c r="J483" s="15"/>
      <c r="K483" s="15"/>
      <c r="L483" s="11"/>
      <c r="M483" s="11"/>
      <c r="N483" s="17" t="str">
        <f aca="false">IF(OR(J483="",K483="",J483=0),"",(J483-K483)/J483)</f>
        <v/>
      </c>
      <c r="O483" s="11"/>
    </row>
    <row r="484" customFormat="false" ht="15" hidden="false" customHeight="false" outlineLevel="0" collapsed="false">
      <c r="A484" s="11"/>
      <c r="B484" s="11"/>
      <c r="C484" s="11"/>
      <c r="D484" s="11"/>
      <c r="E484" s="11"/>
      <c r="F484" s="11"/>
      <c r="G484" s="11"/>
      <c r="H484" s="11"/>
      <c r="I484" s="11"/>
      <c r="J484" s="15"/>
      <c r="K484" s="15"/>
      <c r="L484" s="11"/>
      <c r="M484" s="11"/>
      <c r="N484" s="17" t="str">
        <f aca="false">IF(OR(J484="",K484="",J484=0),"",(J484-K484)/J484)</f>
        <v/>
      </c>
      <c r="O484" s="11"/>
    </row>
    <row r="485" customFormat="false" ht="15" hidden="false" customHeight="false" outlineLevel="0" collapsed="false">
      <c r="A485" s="11"/>
      <c r="B485" s="11"/>
      <c r="C485" s="11"/>
      <c r="D485" s="11"/>
      <c r="E485" s="11"/>
      <c r="F485" s="11"/>
      <c r="G485" s="11"/>
      <c r="H485" s="11"/>
      <c r="I485" s="11"/>
      <c r="J485" s="15"/>
      <c r="K485" s="15"/>
      <c r="L485" s="11"/>
      <c r="M485" s="11"/>
      <c r="N485" s="17" t="str">
        <f aca="false">IF(OR(J485="",K485="",J485=0),"",(J485-K485)/J485)</f>
        <v/>
      </c>
      <c r="O485" s="11"/>
    </row>
    <row r="486" customFormat="false" ht="15" hidden="false" customHeight="false" outlineLevel="0" collapsed="false">
      <c r="A486" s="11"/>
      <c r="B486" s="11"/>
      <c r="C486" s="11"/>
      <c r="D486" s="11"/>
      <c r="E486" s="11"/>
      <c r="F486" s="11"/>
      <c r="G486" s="11"/>
      <c r="H486" s="11"/>
      <c r="I486" s="11"/>
      <c r="J486" s="15"/>
      <c r="K486" s="15"/>
      <c r="L486" s="11"/>
      <c r="M486" s="11"/>
      <c r="N486" s="17" t="str">
        <f aca="false">IF(OR(J486="",K486="",J486=0),"",(J486-K486)/J486)</f>
        <v/>
      </c>
      <c r="O486" s="11"/>
    </row>
    <row r="487" customFormat="false" ht="15" hidden="false" customHeight="false" outlineLevel="0" collapsed="false">
      <c r="A487" s="11"/>
      <c r="B487" s="11"/>
      <c r="C487" s="11"/>
      <c r="D487" s="11"/>
      <c r="E487" s="11"/>
      <c r="F487" s="11"/>
      <c r="G487" s="11"/>
      <c r="H487" s="11"/>
      <c r="I487" s="11"/>
      <c r="J487" s="15"/>
      <c r="K487" s="15"/>
      <c r="L487" s="11"/>
      <c r="M487" s="11"/>
      <c r="N487" s="17" t="str">
        <f aca="false">IF(OR(J487="",K487="",J487=0),"",(J487-K487)/J487)</f>
        <v/>
      </c>
      <c r="O487" s="11"/>
    </row>
    <row r="488" customFormat="false" ht="15" hidden="false" customHeight="false" outlineLevel="0" collapsed="false">
      <c r="A488" s="11"/>
      <c r="B488" s="11"/>
      <c r="C488" s="11"/>
      <c r="D488" s="11"/>
      <c r="E488" s="11"/>
      <c r="F488" s="11"/>
      <c r="G488" s="11"/>
      <c r="H488" s="11"/>
      <c r="I488" s="11"/>
      <c r="J488" s="15"/>
      <c r="K488" s="15"/>
      <c r="L488" s="11"/>
      <c r="M488" s="11"/>
      <c r="N488" s="17" t="str">
        <f aca="false">IF(OR(J488="",K488="",J488=0),"",(J488-K488)/J488)</f>
        <v/>
      </c>
      <c r="O488" s="11"/>
    </row>
    <row r="489" customFormat="false" ht="15" hidden="false" customHeight="false" outlineLevel="0" collapsed="false">
      <c r="A489" s="11"/>
      <c r="B489" s="11"/>
      <c r="C489" s="11"/>
      <c r="D489" s="11"/>
      <c r="E489" s="11"/>
      <c r="F489" s="11"/>
      <c r="G489" s="11"/>
      <c r="H489" s="11"/>
      <c r="I489" s="11"/>
      <c r="J489" s="15"/>
      <c r="K489" s="15"/>
      <c r="L489" s="11"/>
      <c r="M489" s="11"/>
      <c r="N489" s="17" t="str">
        <f aca="false">IF(OR(J489="",K489="",J489=0),"",(J489-K489)/J489)</f>
        <v/>
      </c>
      <c r="O489" s="11"/>
    </row>
    <row r="490" customFormat="false" ht="15" hidden="false" customHeight="false" outlineLevel="0" collapsed="false">
      <c r="A490" s="11"/>
      <c r="B490" s="11"/>
      <c r="C490" s="11"/>
      <c r="D490" s="11"/>
      <c r="E490" s="11"/>
      <c r="F490" s="11"/>
      <c r="G490" s="11"/>
      <c r="H490" s="11"/>
      <c r="I490" s="11"/>
      <c r="J490" s="15"/>
      <c r="K490" s="15"/>
      <c r="L490" s="11"/>
      <c r="M490" s="11"/>
      <c r="N490" s="17" t="str">
        <f aca="false">IF(OR(J490="",K490="",J490=0),"",(J490-K490)/J490)</f>
        <v/>
      </c>
      <c r="O490" s="11"/>
    </row>
    <row r="491" customFormat="false" ht="15" hidden="false" customHeight="false" outlineLevel="0" collapsed="false">
      <c r="A491" s="11"/>
      <c r="B491" s="11"/>
      <c r="C491" s="11"/>
      <c r="D491" s="11"/>
      <c r="E491" s="11"/>
      <c r="F491" s="11"/>
      <c r="G491" s="11"/>
      <c r="H491" s="11"/>
      <c r="I491" s="11"/>
      <c r="J491" s="15"/>
      <c r="K491" s="15"/>
      <c r="L491" s="11"/>
      <c r="M491" s="11"/>
      <c r="N491" s="17" t="str">
        <f aca="false">IF(OR(J491="",K491="",J491=0),"",(J491-K491)/J491)</f>
        <v/>
      </c>
      <c r="O491" s="11"/>
    </row>
    <row r="492" customFormat="false" ht="15" hidden="false" customHeight="false" outlineLevel="0" collapsed="false">
      <c r="A492" s="11"/>
      <c r="B492" s="11"/>
      <c r="C492" s="11"/>
      <c r="D492" s="11"/>
      <c r="E492" s="11"/>
      <c r="F492" s="11"/>
      <c r="G492" s="11"/>
      <c r="H492" s="11"/>
      <c r="I492" s="11"/>
      <c r="J492" s="15"/>
      <c r="K492" s="15"/>
      <c r="L492" s="11"/>
      <c r="M492" s="11"/>
      <c r="N492" s="17" t="str">
        <f aca="false">IF(OR(J492="",K492="",J492=0),"",(J492-K492)/J492)</f>
        <v/>
      </c>
      <c r="O492" s="11"/>
    </row>
    <row r="493" customFormat="false" ht="15" hidden="false" customHeight="false" outlineLevel="0" collapsed="false">
      <c r="A493" s="11"/>
      <c r="B493" s="11"/>
      <c r="C493" s="11"/>
      <c r="D493" s="11"/>
      <c r="E493" s="11"/>
      <c r="F493" s="11"/>
      <c r="G493" s="11"/>
      <c r="H493" s="11"/>
      <c r="I493" s="11"/>
      <c r="J493" s="15"/>
      <c r="K493" s="15"/>
      <c r="L493" s="11"/>
      <c r="M493" s="11"/>
      <c r="N493" s="17" t="str">
        <f aca="false">IF(OR(J493="",K493="",J493=0),"",(J493-K493)/J493)</f>
        <v/>
      </c>
      <c r="O493" s="11"/>
    </row>
    <row r="494" customFormat="false" ht="15" hidden="false" customHeight="false" outlineLevel="0" collapsed="false">
      <c r="A494" s="11"/>
      <c r="B494" s="11"/>
      <c r="C494" s="11"/>
      <c r="D494" s="11"/>
      <c r="E494" s="11"/>
      <c r="F494" s="11"/>
      <c r="G494" s="11"/>
      <c r="H494" s="11"/>
      <c r="I494" s="11"/>
      <c r="J494" s="15"/>
      <c r="K494" s="15"/>
      <c r="L494" s="11"/>
      <c r="M494" s="11"/>
      <c r="N494" s="17" t="str">
        <f aca="false">IF(OR(J494="",K494="",J494=0),"",(J494-K494)/J494)</f>
        <v/>
      </c>
      <c r="O494" s="11"/>
    </row>
    <row r="495" customFormat="false" ht="15" hidden="false" customHeight="false" outlineLevel="0" collapsed="false">
      <c r="A495" s="11"/>
      <c r="B495" s="11"/>
      <c r="C495" s="11"/>
      <c r="D495" s="11"/>
      <c r="E495" s="11"/>
      <c r="F495" s="11"/>
      <c r="G495" s="11"/>
      <c r="H495" s="11"/>
      <c r="I495" s="11"/>
      <c r="J495" s="15"/>
      <c r="K495" s="15"/>
      <c r="L495" s="11"/>
      <c r="M495" s="11"/>
      <c r="N495" s="17" t="str">
        <f aca="false">IF(OR(J495="",K495="",J495=0),"",(J495-K495)/J495)</f>
        <v/>
      </c>
      <c r="O495" s="11"/>
    </row>
    <row r="496" customFormat="false" ht="15" hidden="false" customHeight="false" outlineLevel="0" collapsed="false">
      <c r="A496" s="11"/>
      <c r="B496" s="11"/>
      <c r="C496" s="11"/>
      <c r="D496" s="11"/>
      <c r="E496" s="11"/>
      <c r="F496" s="11"/>
      <c r="G496" s="11"/>
      <c r="H496" s="11"/>
      <c r="I496" s="11"/>
      <c r="J496" s="15"/>
      <c r="K496" s="15"/>
      <c r="L496" s="11"/>
      <c r="M496" s="11"/>
      <c r="N496" s="17" t="str">
        <f aca="false">IF(OR(J496="",K496="",J496=0),"",(J496-K496)/J496)</f>
        <v/>
      </c>
      <c r="O496" s="11"/>
    </row>
    <row r="497" customFormat="false" ht="15" hidden="false" customHeight="false" outlineLevel="0" collapsed="false">
      <c r="A497" s="11"/>
      <c r="B497" s="11"/>
      <c r="C497" s="11"/>
      <c r="D497" s="11"/>
      <c r="E497" s="11"/>
      <c r="F497" s="11"/>
      <c r="G497" s="11"/>
      <c r="H497" s="11"/>
      <c r="I497" s="11"/>
      <c r="J497" s="15"/>
      <c r="K497" s="15"/>
      <c r="L497" s="11"/>
      <c r="M497" s="11"/>
      <c r="N497" s="17" t="str">
        <f aca="false">IF(OR(J497="",K497="",J497=0),"",(J497-K497)/J497)</f>
        <v/>
      </c>
      <c r="O497" s="11"/>
    </row>
    <row r="498" customFormat="false" ht="15" hidden="false" customHeight="false" outlineLevel="0" collapsed="false">
      <c r="A498" s="11"/>
      <c r="B498" s="11"/>
      <c r="C498" s="11"/>
      <c r="D498" s="11"/>
      <c r="E498" s="11"/>
      <c r="F498" s="11"/>
      <c r="G498" s="11"/>
      <c r="H498" s="11"/>
      <c r="I498" s="11"/>
      <c r="J498" s="15"/>
      <c r="K498" s="15"/>
      <c r="L498" s="11"/>
      <c r="M498" s="11"/>
      <c r="N498" s="17" t="str">
        <f aca="false">IF(OR(J498="",K498="",J498=0),"",(J498-K498)/J498)</f>
        <v/>
      </c>
      <c r="O498" s="11"/>
    </row>
    <row r="499" customFormat="false" ht="15" hidden="false" customHeight="false" outlineLevel="0" collapsed="false">
      <c r="A499" s="11"/>
      <c r="B499" s="11"/>
      <c r="C499" s="11"/>
      <c r="D499" s="11"/>
      <c r="E499" s="11"/>
      <c r="F499" s="11"/>
      <c r="G499" s="11"/>
      <c r="H499" s="11"/>
      <c r="I499" s="11"/>
      <c r="J499" s="15"/>
      <c r="K499" s="15"/>
      <c r="L499" s="11"/>
      <c r="M499" s="11"/>
      <c r="N499" s="17" t="str">
        <f aca="false">IF(OR(J499="",K499="",J499=0),"",(J499-K499)/J499)</f>
        <v/>
      </c>
      <c r="O499" s="11"/>
    </row>
    <row r="500" customFormat="false" ht="15" hidden="false" customHeight="false" outlineLevel="0" collapsed="false">
      <c r="A500" s="11"/>
      <c r="B500" s="11"/>
      <c r="C500" s="11"/>
      <c r="D500" s="11"/>
      <c r="E500" s="11"/>
      <c r="F500" s="11"/>
      <c r="G500" s="11"/>
      <c r="H500" s="11"/>
      <c r="I500" s="11"/>
      <c r="J500" s="15"/>
      <c r="K500" s="15"/>
      <c r="L500" s="11"/>
      <c r="M500" s="11"/>
      <c r="N500" s="17" t="str">
        <f aca="false">IF(OR(J500="",K500="",J500=0),"",(J500-K500)/J500)</f>
        <v/>
      </c>
      <c r="O500" s="11"/>
    </row>
    <row r="501" customFormat="false" ht="15" hidden="false" customHeight="false" outlineLevel="0" collapsed="false">
      <c r="A501" s="11"/>
      <c r="B501" s="11"/>
      <c r="C501" s="11"/>
      <c r="D501" s="11"/>
      <c r="E501" s="11"/>
      <c r="F501" s="11"/>
      <c r="G501" s="11"/>
      <c r="H501" s="11"/>
      <c r="I501" s="11"/>
      <c r="J501" s="15"/>
      <c r="K501" s="15"/>
      <c r="L501" s="11"/>
      <c r="M501" s="11"/>
      <c r="N501" s="17" t="str">
        <f aca="false">IF(OR(J501="",K501="",J501=0),"",(J501-K501)/J501)</f>
        <v/>
      </c>
      <c r="O501" s="11"/>
    </row>
    <row r="502" customFormat="false" ht="15" hidden="false" customHeight="false" outlineLevel="0" collapsed="false">
      <c r="A502" s="11"/>
      <c r="B502" s="11"/>
      <c r="C502" s="11"/>
      <c r="D502" s="11"/>
      <c r="E502" s="11"/>
      <c r="F502" s="11"/>
      <c r="G502" s="11"/>
      <c r="H502" s="11"/>
      <c r="I502" s="11"/>
      <c r="J502" s="15"/>
      <c r="K502" s="15"/>
      <c r="L502" s="11"/>
      <c r="M502" s="11"/>
      <c r="N502" s="17" t="str">
        <f aca="false">IF(OR(J502="",K502="",J502=0),"",(J502-K502)/J502)</f>
        <v/>
      </c>
      <c r="O502" s="11"/>
    </row>
    <row r="503" customFormat="false" ht="15" hidden="false" customHeight="false" outlineLevel="0" collapsed="false">
      <c r="A503" s="11"/>
      <c r="B503" s="11"/>
      <c r="C503" s="11"/>
      <c r="D503" s="11"/>
      <c r="E503" s="11"/>
      <c r="F503" s="11"/>
      <c r="G503" s="11"/>
      <c r="H503" s="11"/>
      <c r="I503" s="11"/>
      <c r="J503" s="15"/>
      <c r="K503" s="15"/>
      <c r="L503" s="11"/>
      <c r="M503" s="11"/>
      <c r="N503" s="17" t="str">
        <f aca="false">IF(OR(J503="",K503="",J503=0),"",(J503-K503)/J503)</f>
        <v/>
      </c>
      <c r="O503" s="11"/>
    </row>
    <row r="504" customFormat="false" ht="15" hidden="false" customHeight="false" outlineLevel="0" collapsed="false">
      <c r="A504" s="11"/>
      <c r="B504" s="11"/>
      <c r="C504" s="11"/>
      <c r="D504" s="11"/>
      <c r="E504" s="11"/>
      <c r="F504" s="11"/>
      <c r="G504" s="11"/>
      <c r="H504" s="11"/>
      <c r="I504" s="11"/>
      <c r="J504" s="15"/>
      <c r="K504" s="15"/>
      <c r="L504" s="11"/>
      <c r="M504" s="11"/>
      <c r="N504" s="17" t="str">
        <f aca="false">IF(OR(J504="",K504="",J504=0),"",(J504-K504)/J504)</f>
        <v/>
      </c>
      <c r="O504" s="11"/>
    </row>
    <row r="505" customFormat="false" ht="15" hidden="false" customHeight="false" outlineLevel="0" collapsed="false">
      <c r="A505" s="11"/>
      <c r="B505" s="11"/>
      <c r="C505" s="11"/>
      <c r="D505" s="11"/>
      <c r="E505" s="11"/>
      <c r="F505" s="11"/>
      <c r="G505" s="11"/>
      <c r="H505" s="11"/>
      <c r="I505" s="11"/>
      <c r="J505" s="15"/>
      <c r="K505" s="15"/>
      <c r="L505" s="11"/>
      <c r="M505" s="11"/>
      <c r="N505" s="17" t="str">
        <f aca="false">IF(OR(J505="",K505="",J505=0),"",(J505-K505)/J505)</f>
        <v/>
      </c>
      <c r="O505" s="11"/>
    </row>
    <row r="506" customFormat="false" ht="15" hidden="false" customHeight="false" outlineLevel="0" collapsed="false">
      <c r="A506" s="11"/>
      <c r="B506" s="11"/>
      <c r="C506" s="11"/>
      <c r="D506" s="11"/>
      <c r="E506" s="11"/>
      <c r="F506" s="11"/>
      <c r="G506" s="11"/>
      <c r="H506" s="11"/>
      <c r="I506" s="11"/>
      <c r="J506" s="15"/>
      <c r="K506" s="15"/>
      <c r="L506" s="11"/>
      <c r="M506" s="11"/>
      <c r="N506" s="17" t="str">
        <f aca="false">IF(OR(J506="",K506="",J506=0),"",(J506-K506)/J506)</f>
        <v/>
      </c>
      <c r="O506" s="11"/>
    </row>
    <row r="507" customFormat="false" ht="15" hidden="false" customHeight="false" outlineLevel="0" collapsed="false">
      <c r="A507" s="11"/>
      <c r="B507" s="11"/>
      <c r="C507" s="11"/>
      <c r="D507" s="11"/>
      <c r="E507" s="11"/>
      <c r="F507" s="11"/>
      <c r="G507" s="11"/>
      <c r="H507" s="11"/>
      <c r="I507" s="11"/>
      <c r="J507" s="15"/>
      <c r="K507" s="15"/>
      <c r="L507" s="11"/>
      <c r="M507" s="11"/>
      <c r="N507" s="17" t="str">
        <f aca="false">IF(OR(J507="",K507="",J507=0),"",(J507-K507)/J507)</f>
        <v/>
      </c>
      <c r="O507" s="11"/>
    </row>
    <row r="508" customFormat="false" ht="15" hidden="false" customHeight="false" outlineLevel="0" collapsed="false">
      <c r="A508" s="11"/>
      <c r="B508" s="11"/>
      <c r="C508" s="11"/>
      <c r="D508" s="11"/>
      <c r="E508" s="11"/>
      <c r="F508" s="11"/>
      <c r="G508" s="11"/>
      <c r="H508" s="11"/>
      <c r="I508" s="11"/>
      <c r="J508" s="15"/>
      <c r="K508" s="15"/>
      <c r="L508" s="11"/>
      <c r="M508" s="11"/>
      <c r="N508" s="17" t="str">
        <f aca="false">IF(OR(J508="",K508="",J508=0),"",(J508-K508)/J508)</f>
        <v/>
      </c>
      <c r="O508" s="11"/>
    </row>
    <row r="509" customFormat="false" ht="15" hidden="false" customHeight="false" outlineLevel="0" collapsed="false">
      <c r="A509" s="11"/>
      <c r="B509" s="11"/>
      <c r="C509" s="11"/>
      <c r="D509" s="11"/>
      <c r="E509" s="11"/>
      <c r="F509" s="11"/>
      <c r="G509" s="11"/>
      <c r="H509" s="11"/>
      <c r="I509" s="11"/>
      <c r="J509" s="15"/>
      <c r="K509" s="15"/>
      <c r="L509" s="11"/>
      <c r="M509" s="11"/>
      <c r="N509" s="17" t="str">
        <f aca="false">IF(OR(J509="",K509="",J509=0),"",(J509-K509)/J509)</f>
        <v/>
      </c>
      <c r="O509" s="11"/>
    </row>
    <row r="510" customFormat="false" ht="15" hidden="false" customHeight="false" outlineLevel="0" collapsed="false">
      <c r="A510" s="11"/>
      <c r="B510" s="11"/>
      <c r="C510" s="11"/>
      <c r="D510" s="11"/>
      <c r="E510" s="11"/>
      <c r="F510" s="11"/>
      <c r="G510" s="11"/>
      <c r="H510" s="11"/>
      <c r="I510" s="11"/>
      <c r="J510" s="15"/>
      <c r="K510" s="15"/>
      <c r="L510" s="11"/>
      <c r="M510" s="11"/>
      <c r="N510" s="17" t="str">
        <f aca="false">IF(OR(J510="",K510="",J510=0),"",(J510-K510)/J510)</f>
        <v/>
      </c>
      <c r="O510" s="11"/>
    </row>
    <row r="511" customFormat="false" ht="15" hidden="false" customHeight="false" outlineLevel="0" collapsed="false">
      <c r="A511" s="11"/>
      <c r="B511" s="11"/>
      <c r="C511" s="11"/>
      <c r="D511" s="11"/>
      <c r="E511" s="11"/>
      <c r="F511" s="11"/>
      <c r="G511" s="11"/>
      <c r="H511" s="11"/>
      <c r="I511" s="11"/>
      <c r="J511" s="15"/>
      <c r="K511" s="15"/>
      <c r="L511" s="11"/>
      <c r="M511" s="11"/>
      <c r="N511" s="17" t="str">
        <f aca="false">IF(OR(J511="",K511="",J511=0),"",(J511-K511)/J511)</f>
        <v/>
      </c>
      <c r="O511" s="11"/>
    </row>
    <row r="512" customFormat="false" ht="15" hidden="false" customHeight="false" outlineLevel="0" collapsed="false">
      <c r="A512" s="11"/>
      <c r="B512" s="11"/>
      <c r="C512" s="11"/>
      <c r="D512" s="11"/>
      <c r="E512" s="11"/>
      <c r="F512" s="11"/>
      <c r="G512" s="11"/>
      <c r="H512" s="11"/>
      <c r="I512" s="11"/>
      <c r="J512" s="15"/>
      <c r="K512" s="15"/>
      <c r="L512" s="11"/>
      <c r="M512" s="11"/>
      <c r="N512" s="17" t="str">
        <f aca="false">IF(OR(J512="",K512="",J512=0),"",(J512-K512)/J512)</f>
        <v/>
      </c>
      <c r="O512" s="11"/>
    </row>
    <row r="513" customFormat="false" ht="15" hidden="false" customHeight="false" outlineLevel="0" collapsed="false">
      <c r="A513" s="11"/>
      <c r="B513" s="11"/>
      <c r="C513" s="11"/>
      <c r="D513" s="11"/>
      <c r="E513" s="11"/>
      <c r="F513" s="11"/>
      <c r="G513" s="11"/>
      <c r="H513" s="11"/>
      <c r="I513" s="11"/>
      <c r="J513" s="15"/>
      <c r="K513" s="15"/>
      <c r="L513" s="11"/>
      <c r="M513" s="11"/>
      <c r="N513" s="17" t="str">
        <f aca="false">IF(OR(J513="",K513="",J513=0),"",(J513-K513)/J513)</f>
        <v/>
      </c>
      <c r="O513" s="11"/>
    </row>
    <row r="514" customFormat="false" ht="15" hidden="false" customHeight="false" outlineLevel="0" collapsed="false">
      <c r="A514" s="11"/>
      <c r="B514" s="11"/>
      <c r="C514" s="11"/>
      <c r="D514" s="11"/>
      <c r="E514" s="11"/>
      <c r="F514" s="11"/>
      <c r="G514" s="11"/>
      <c r="H514" s="11"/>
      <c r="I514" s="11"/>
      <c r="J514" s="15"/>
      <c r="K514" s="15"/>
      <c r="L514" s="11"/>
      <c r="M514" s="11"/>
      <c r="N514" s="17" t="str">
        <f aca="false">IF(OR(J514="",K514="",J514=0),"",(J514-K514)/J514)</f>
        <v/>
      </c>
      <c r="O514" s="11"/>
    </row>
    <row r="515" customFormat="false" ht="15" hidden="false" customHeight="false" outlineLevel="0" collapsed="false">
      <c r="A515" s="11"/>
      <c r="B515" s="11"/>
      <c r="C515" s="11"/>
      <c r="D515" s="11"/>
      <c r="E515" s="11"/>
      <c r="F515" s="11"/>
      <c r="G515" s="11"/>
      <c r="H515" s="11"/>
      <c r="I515" s="11"/>
      <c r="J515" s="15"/>
      <c r="K515" s="15"/>
      <c r="L515" s="11"/>
      <c r="M515" s="11"/>
      <c r="N515" s="17" t="str">
        <f aca="false">IF(OR(J515="",K515="",J515=0),"",(J515-K515)/J515)</f>
        <v/>
      </c>
      <c r="O515" s="11"/>
    </row>
    <row r="516" customFormat="false" ht="15" hidden="false" customHeight="false" outlineLevel="0" collapsed="false">
      <c r="A516" s="11"/>
      <c r="B516" s="11"/>
      <c r="C516" s="11"/>
      <c r="D516" s="11"/>
      <c r="E516" s="11"/>
      <c r="F516" s="11"/>
      <c r="G516" s="11"/>
      <c r="H516" s="11"/>
      <c r="I516" s="11"/>
      <c r="J516" s="15"/>
      <c r="K516" s="15"/>
      <c r="L516" s="11"/>
      <c r="M516" s="11"/>
      <c r="N516" s="17" t="str">
        <f aca="false">IF(OR(J516="",K516="",J516=0),"",(J516-K516)/J516)</f>
        <v/>
      </c>
      <c r="O516" s="11"/>
    </row>
    <row r="517" customFormat="false" ht="15" hidden="false" customHeight="false" outlineLevel="0" collapsed="false">
      <c r="A517" s="11"/>
      <c r="B517" s="11"/>
      <c r="C517" s="11"/>
      <c r="D517" s="11"/>
      <c r="E517" s="11"/>
      <c r="F517" s="11"/>
      <c r="G517" s="11"/>
      <c r="H517" s="11"/>
      <c r="I517" s="11"/>
      <c r="J517" s="15"/>
      <c r="K517" s="15"/>
      <c r="L517" s="11"/>
      <c r="M517" s="11"/>
      <c r="N517" s="17" t="str">
        <f aca="false">IF(OR(J517="",K517="",J517=0),"",(J517-K517)/J517)</f>
        <v/>
      </c>
      <c r="O517" s="11"/>
    </row>
    <row r="518" customFormat="false" ht="15" hidden="false" customHeight="false" outlineLevel="0" collapsed="false">
      <c r="A518" s="11"/>
      <c r="B518" s="11"/>
      <c r="C518" s="11"/>
      <c r="D518" s="11"/>
      <c r="E518" s="11"/>
      <c r="F518" s="11"/>
      <c r="G518" s="11"/>
      <c r="H518" s="11"/>
      <c r="I518" s="11"/>
      <c r="J518" s="15"/>
      <c r="K518" s="15"/>
      <c r="L518" s="11"/>
      <c r="M518" s="11"/>
      <c r="N518" s="17" t="str">
        <f aca="false">IF(OR(J518="",K518="",J518=0),"",(J518-K518)/J518)</f>
        <v/>
      </c>
      <c r="O518" s="11"/>
    </row>
    <row r="519" customFormat="false" ht="15" hidden="false" customHeight="false" outlineLevel="0" collapsed="false">
      <c r="A519" s="11"/>
      <c r="B519" s="11"/>
      <c r="C519" s="11"/>
      <c r="D519" s="11"/>
      <c r="E519" s="11"/>
      <c r="F519" s="11"/>
      <c r="G519" s="11"/>
      <c r="H519" s="11"/>
      <c r="I519" s="11"/>
      <c r="J519" s="15"/>
      <c r="K519" s="15"/>
      <c r="L519" s="11"/>
      <c r="M519" s="11"/>
      <c r="N519" s="17" t="str">
        <f aca="false">IF(OR(J519="",K519="",J519=0),"",(J519-K519)/J519)</f>
        <v/>
      </c>
      <c r="O519" s="11"/>
    </row>
    <row r="520" customFormat="false" ht="15" hidden="false" customHeight="false" outlineLevel="0" collapsed="false">
      <c r="A520" s="11"/>
      <c r="B520" s="11"/>
      <c r="C520" s="11"/>
      <c r="D520" s="11"/>
      <c r="E520" s="11"/>
      <c r="F520" s="11"/>
      <c r="G520" s="11"/>
      <c r="H520" s="11"/>
      <c r="I520" s="11"/>
      <c r="J520" s="15"/>
      <c r="K520" s="15"/>
      <c r="L520" s="11"/>
      <c r="M520" s="11"/>
      <c r="N520" s="17" t="str">
        <f aca="false">IF(OR(J520="",K520="",J520=0),"",(J520-K520)/J520)</f>
        <v/>
      </c>
      <c r="O520" s="11"/>
    </row>
    <row r="521" customFormat="false" ht="15" hidden="false" customHeight="false" outlineLevel="0" collapsed="false">
      <c r="A521" s="11"/>
      <c r="B521" s="11"/>
      <c r="C521" s="11"/>
      <c r="D521" s="11"/>
      <c r="E521" s="11"/>
      <c r="F521" s="11"/>
      <c r="G521" s="11"/>
      <c r="H521" s="11"/>
      <c r="I521" s="11"/>
      <c r="J521" s="15"/>
      <c r="K521" s="15"/>
      <c r="L521" s="11"/>
      <c r="M521" s="11"/>
      <c r="N521" s="17" t="str">
        <f aca="false">IF(OR(J521="",K521="",J521=0),"",(J521-K521)/J521)</f>
        <v/>
      </c>
      <c r="O521" s="11"/>
    </row>
    <row r="522" customFormat="false" ht="15" hidden="false" customHeight="false" outlineLevel="0" collapsed="false">
      <c r="A522" s="11"/>
      <c r="B522" s="11"/>
      <c r="C522" s="11"/>
      <c r="D522" s="11"/>
      <c r="E522" s="11"/>
      <c r="F522" s="11"/>
      <c r="G522" s="11"/>
      <c r="H522" s="11"/>
      <c r="I522" s="11"/>
      <c r="J522" s="15"/>
      <c r="K522" s="15"/>
      <c r="L522" s="11"/>
      <c r="M522" s="11"/>
      <c r="N522" s="17" t="str">
        <f aca="false">IF(OR(J522="",K522="",J522=0),"",(J522-K522)/J522)</f>
        <v/>
      </c>
      <c r="O522" s="11"/>
    </row>
    <row r="523" customFormat="false" ht="15" hidden="false" customHeight="false" outlineLevel="0" collapsed="false">
      <c r="A523" s="11"/>
      <c r="B523" s="11"/>
      <c r="C523" s="11"/>
      <c r="D523" s="11"/>
      <c r="E523" s="11"/>
      <c r="F523" s="11"/>
      <c r="G523" s="11"/>
      <c r="H523" s="11"/>
      <c r="I523" s="11"/>
      <c r="J523" s="15"/>
      <c r="K523" s="15"/>
      <c r="L523" s="11"/>
      <c r="M523" s="11"/>
      <c r="N523" s="17" t="str">
        <f aca="false">IF(OR(J523="",K523="",J523=0),"",(J523-K523)/J523)</f>
        <v/>
      </c>
      <c r="O523" s="11"/>
    </row>
    <row r="524" customFormat="false" ht="15" hidden="false" customHeight="false" outlineLevel="0" collapsed="false">
      <c r="A524" s="11"/>
      <c r="B524" s="11"/>
      <c r="C524" s="11"/>
      <c r="D524" s="11"/>
      <c r="E524" s="11"/>
      <c r="F524" s="11"/>
      <c r="G524" s="11"/>
      <c r="H524" s="11"/>
      <c r="I524" s="11"/>
      <c r="J524" s="15"/>
      <c r="K524" s="15"/>
      <c r="L524" s="11"/>
      <c r="M524" s="11"/>
      <c r="N524" s="17" t="str">
        <f aca="false">IF(OR(J524="",K524="",J524=0),"",(J524-K524)/J524)</f>
        <v/>
      </c>
      <c r="O524" s="11"/>
    </row>
    <row r="525" customFormat="false" ht="15" hidden="false" customHeight="false" outlineLevel="0" collapsed="false">
      <c r="A525" s="11"/>
      <c r="B525" s="11"/>
      <c r="C525" s="11"/>
      <c r="D525" s="11"/>
      <c r="E525" s="11"/>
      <c r="F525" s="11"/>
      <c r="G525" s="11"/>
      <c r="H525" s="11"/>
      <c r="I525" s="11"/>
      <c r="J525" s="15"/>
      <c r="K525" s="15"/>
      <c r="L525" s="11"/>
      <c r="M525" s="11"/>
      <c r="N525" s="17" t="str">
        <f aca="false">IF(OR(J525="",K525="",J525=0),"",(J525-K525)/J525)</f>
        <v/>
      </c>
      <c r="O525" s="11"/>
    </row>
    <row r="526" customFormat="false" ht="15" hidden="false" customHeight="false" outlineLevel="0" collapsed="false">
      <c r="A526" s="11"/>
      <c r="B526" s="11"/>
      <c r="C526" s="11"/>
      <c r="D526" s="11"/>
      <c r="E526" s="11"/>
      <c r="F526" s="11"/>
      <c r="G526" s="11"/>
      <c r="H526" s="11"/>
      <c r="I526" s="11"/>
      <c r="J526" s="15"/>
      <c r="K526" s="15"/>
      <c r="L526" s="11"/>
      <c r="M526" s="11"/>
      <c r="N526" s="17" t="str">
        <f aca="false">IF(OR(J526="",K526="",J526=0),"",(J526-K526)/J526)</f>
        <v/>
      </c>
      <c r="O526" s="11"/>
    </row>
    <row r="527" customFormat="false" ht="15" hidden="false" customHeight="false" outlineLevel="0" collapsed="false">
      <c r="A527" s="11"/>
      <c r="B527" s="11"/>
      <c r="C527" s="11"/>
      <c r="D527" s="11"/>
      <c r="E527" s="11"/>
      <c r="F527" s="11"/>
      <c r="G527" s="11"/>
      <c r="H527" s="11"/>
      <c r="I527" s="11"/>
      <c r="J527" s="15"/>
      <c r="K527" s="15"/>
      <c r="L527" s="11"/>
      <c r="M527" s="11"/>
      <c r="N527" s="17" t="str">
        <f aca="false">IF(OR(J527="",K527="",J527=0),"",(J527-K527)/J527)</f>
        <v/>
      </c>
      <c r="O527" s="11"/>
    </row>
    <row r="528" customFormat="false" ht="15" hidden="false" customHeight="false" outlineLevel="0" collapsed="false">
      <c r="A528" s="11"/>
      <c r="B528" s="11"/>
      <c r="C528" s="11"/>
      <c r="D528" s="11"/>
      <c r="E528" s="11"/>
      <c r="F528" s="11"/>
      <c r="G528" s="11"/>
      <c r="H528" s="11"/>
      <c r="I528" s="11"/>
      <c r="J528" s="15"/>
      <c r="K528" s="15"/>
      <c r="L528" s="11"/>
      <c r="M528" s="11"/>
      <c r="N528" s="17" t="str">
        <f aca="false">IF(OR(J528="",K528="",J528=0),"",(J528-K528)/J528)</f>
        <v/>
      </c>
      <c r="O528" s="11"/>
    </row>
    <row r="529" customFormat="false" ht="15" hidden="false" customHeight="false" outlineLevel="0" collapsed="false">
      <c r="A529" s="11"/>
      <c r="B529" s="11"/>
      <c r="C529" s="11"/>
      <c r="D529" s="11"/>
      <c r="E529" s="11"/>
      <c r="F529" s="11"/>
      <c r="G529" s="11"/>
      <c r="H529" s="11"/>
      <c r="I529" s="11"/>
      <c r="J529" s="15"/>
      <c r="K529" s="15"/>
      <c r="L529" s="11"/>
      <c r="M529" s="11"/>
      <c r="N529" s="17" t="str">
        <f aca="false">IF(OR(J529="",K529="",J529=0),"",(J529-K529)/J529)</f>
        <v/>
      </c>
      <c r="O529" s="11"/>
    </row>
    <row r="530" customFormat="false" ht="15" hidden="false" customHeight="false" outlineLevel="0" collapsed="false">
      <c r="A530" s="11"/>
      <c r="B530" s="11"/>
      <c r="C530" s="11"/>
      <c r="D530" s="11"/>
      <c r="E530" s="11"/>
      <c r="F530" s="11"/>
      <c r="G530" s="11"/>
      <c r="H530" s="11"/>
      <c r="I530" s="11"/>
      <c r="J530" s="15"/>
      <c r="K530" s="15"/>
      <c r="L530" s="11"/>
      <c r="M530" s="11"/>
      <c r="N530" s="17" t="str">
        <f aca="false">IF(OR(J530="",K530="",J530=0),"",(J530-K530)/J530)</f>
        <v/>
      </c>
      <c r="O530" s="11"/>
    </row>
    <row r="531" customFormat="false" ht="15" hidden="false" customHeight="false" outlineLevel="0" collapsed="false">
      <c r="A531" s="11"/>
      <c r="B531" s="11"/>
      <c r="C531" s="11"/>
      <c r="D531" s="11"/>
      <c r="E531" s="11"/>
      <c r="F531" s="11"/>
      <c r="G531" s="11"/>
      <c r="H531" s="11"/>
      <c r="I531" s="11"/>
      <c r="J531" s="15"/>
      <c r="K531" s="15"/>
      <c r="L531" s="11"/>
      <c r="M531" s="11"/>
      <c r="N531" s="17" t="str">
        <f aca="false">IF(OR(J531="",K531="",J531=0),"",(J531-K531)/J531)</f>
        <v/>
      </c>
      <c r="O531" s="11"/>
    </row>
    <row r="532" customFormat="false" ht="15" hidden="false" customHeight="false" outlineLevel="0" collapsed="false">
      <c r="A532" s="11"/>
      <c r="B532" s="11"/>
      <c r="C532" s="11"/>
      <c r="D532" s="11"/>
      <c r="E532" s="11"/>
      <c r="F532" s="11"/>
      <c r="G532" s="11"/>
      <c r="H532" s="11"/>
      <c r="I532" s="11"/>
      <c r="J532" s="15"/>
      <c r="K532" s="15"/>
      <c r="L532" s="11"/>
      <c r="M532" s="11"/>
      <c r="N532" s="17" t="str">
        <f aca="false">IF(OR(J532="",K532="",J532=0),"",(J532-K532)/J532)</f>
        <v/>
      </c>
      <c r="O532" s="11"/>
    </row>
    <row r="533" customFormat="false" ht="15" hidden="false" customHeight="false" outlineLevel="0" collapsed="false">
      <c r="A533" s="11"/>
      <c r="B533" s="11"/>
      <c r="C533" s="11"/>
      <c r="D533" s="11"/>
      <c r="E533" s="11"/>
      <c r="F533" s="11"/>
      <c r="G533" s="11"/>
      <c r="H533" s="11"/>
      <c r="I533" s="11"/>
      <c r="J533" s="15"/>
      <c r="K533" s="15"/>
      <c r="L533" s="11"/>
      <c r="M533" s="11"/>
      <c r="N533" s="17" t="str">
        <f aca="false">IF(OR(J533="",K533="",J533=0),"",(J533-K533)/J533)</f>
        <v/>
      </c>
      <c r="O533" s="11"/>
    </row>
    <row r="534" customFormat="false" ht="15" hidden="false" customHeight="false" outlineLevel="0" collapsed="false">
      <c r="A534" s="11"/>
      <c r="B534" s="11"/>
      <c r="C534" s="11"/>
      <c r="D534" s="11"/>
      <c r="E534" s="11"/>
      <c r="F534" s="11"/>
      <c r="G534" s="11"/>
      <c r="H534" s="11"/>
      <c r="I534" s="11"/>
      <c r="J534" s="15"/>
      <c r="K534" s="15"/>
      <c r="L534" s="11"/>
      <c r="M534" s="11"/>
      <c r="N534" s="17" t="str">
        <f aca="false">IF(OR(J534="",K534="",J534=0),"",(J534-K534)/J534)</f>
        <v/>
      </c>
      <c r="O534" s="11"/>
    </row>
    <row r="535" customFormat="false" ht="15" hidden="false" customHeight="false" outlineLevel="0" collapsed="false">
      <c r="A535" s="11"/>
      <c r="B535" s="11"/>
      <c r="C535" s="11"/>
      <c r="D535" s="11"/>
      <c r="E535" s="11"/>
      <c r="F535" s="11"/>
      <c r="G535" s="11"/>
      <c r="H535" s="11"/>
      <c r="I535" s="11"/>
      <c r="J535" s="15"/>
      <c r="K535" s="15"/>
      <c r="L535" s="11"/>
      <c r="M535" s="11"/>
      <c r="N535" s="17" t="str">
        <f aca="false">IF(OR(J535="",K535="",J535=0),"",(J535-K535)/J535)</f>
        <v/>
      </c>
      <c r="O535" s="11"/>
    </row>
    <row r="536" customFormat="false" ht="15" hidden="false" customHeight="false" outlineLevel="0" collapsed="false">
      <c r="A536" s="11"/>
      <c r="B536" s="11"/>
      <c r="C536" s="11"/>
      <c r="D536" s="11"/>
      <c r="E536" s="11"/>
      <c r="F536" s="11"/>
      <c r="G536" s="11"/>
      <c r="H536" s="11"/>
      <c r="I536" s="11"/>
      <c r="J536" s="15"/>
      <c r="K536" s="15"/>
      <c r="L536" s="11"/>
      <c r="M536" s="11"/>
      <c r="N536" s="17" t="str">
        <f aca="false">IF(OR(J536="",K536="",J536=0),"",(J536-K536)/J536)</f>
        <v/>
      </c>
      <c r="O536" s="11"/>
    </row>
    <row r="537" customFormat="false" ht="15" hidden="false" customHeight="false" outlineLevel="0" collapsed="false">
      <c r="A537" s="11"/>
      <c r="B537" s="11"/>
      <c r="C537" s="11"/>
      <c r="D537" s="11"/>
      <c r="E537" s="11"/>
      <c r="F537" s="11"/>
      <c r="G537" s="11"/>
      <c r="H537" s="11"/>
      <c r="I537" s="11"/>
      <c r="J537" s="15"/>
      <c r="K537" s="15"/>
      <c r="L537" s="11"/>
      <c r="M537" s="11"/>
      <c r="N537" s="17" t="str">
        <f aca="false">IF(OR(J537="",K537="",J537=0),"",(J537-K537)/J537)</f>
        <v/>
      </c>
      <c r="O537" s="11"/>
    </row>
    <row r="538" customFormat="false" ht="15" hidden="false" customHeight="false" outlineLevel="0" collapsed="false">
      <c r="A538" s="11"/>
      <c r="B538" s="11"/>
      <c r="C538" s="11"/>
      <c r="D538" s="11"/>
      <c r="E538" s="11"/>
      <c r="F538" s="11"/>
      <c r="G538" s="11"/>
      <c r="H538" s="11"/>
      <c r="I538" s="11"/>
      <c r="J538" s="15"/>
      <c r="K538" s="15"/>
      <c r="L538" s="11"/>
      <c r="M538" s="11"/>
      <c r="N538" s="17" t="str">
        <f aca="false">IF(OR(J538="",K538="",J538=0),"",(J538-K538)/J538)</f>
        <v/>
      </c>
      <c r="O538" s="11"/>
    </row>
    <row r="539" customFormat="false" ht="15" hidden="false" customHeight="false" outlineLevel="0" collapsed="false">
      <c r="A539" s="11"/>
      <c r="B539" s="11"/>
      <c r="C539" s="11"/>
      <c r="D539" s="11"/>
      <c r="E539" s="11"/>
      <c r="F539" s="11"/>
      <c r="G539" s="11"/>
      <c r="H539" s="11"/>
      <c r="I539" s="11"/>
      <c r="J539" s="15"/>
      <c r="K539" s="15"/>
      <c r="L539" s="11"/>
      <c r="M539" s="11"/>
      <c r="N539" s="17" t="str">
        <f aca="false">IF(OR(J539="",K539="",J539=0),"",(J539-K539)/J539)</f>
        <v/>
      </c>
      <c r="O539" s="11"/>
    </row>
    <row r="540" customFormat="false" ht="15" hidden="false" customHeight="false" outlineLevel="0" collapsed="false">
      <c r="A540" s="11"/>
      <c r="B540" s="11"/>
      <c r="C540" s="11"/>
      <c r="D540" s="11"/>
      <c r="E540" s="11"/>
      <c r="F540" s="11"/>
      <c r="G540" s="11"/>
      <c r="H540" s="11"/>
      <c r="I540" s="11"/>
      <c r="J540" s="15"/>
      <c r="K540" s="15"/>
      <c r="L540" s="11"/>
      <c r="M540" s="11"/>
      <c r="N540" s="17" t="str">
        <f aca="false">IF(OR(J540="",K540="",J540=0),"",(J540-K540)/J540)</f>
        <v/>
      </c>
      <c r="O540" s="11"/>
    </row>
    <row r="541" customFormat="false" ht="15" hidden="false" customHeight="false" outlineLevel="0" collapsed="false">
      <c r="A541" s="11"/>
      <c r="B541" s="11"/>
      <c r="C541" s="11"/>
      <c r="D541" s="11"/>
      <c r="E541" s="11"/>
      <c r="F541" s="11"/>
      <c r="G541" s="11"/>
      <c r="H541" s="11"/>
      <c r="I541" s="11"/>
      <c r="J541" s="15"/>
      <c r="K541" s="15"/>
      <c r="L541" s="11"/>
      <c r="M541" s="11"/>
      <c r="N541" s="17" t="str">
        <f aca="false">IF(OR(J541="",K541="",J541=0),"",(J541-K541)/J541)</f>
        <v/>
      </c>
      <c r="O541" s="11"/>
    </row>
    <row r="542" customFormat="false" ht="15" hidden="false" customHeight="false" outlineLevel="0" collapsed="false">
      <c r="A542" s="11"/>
      <c r="B542" s="11"/>
      <c r="C542" s="11"/>
      <c r="D542" s="11"/>
      <c r="E542" s="11"/>
      <c r="F542" s="11"/>
      <c r="G542" s="11"/>
      <c r="H542" s="11"/>
      <c r="I542" s="11"/>
      <c r="J542" s="15"/>
      <c r="K542" s="15"/>
      <c r="L542" s="11"/>
      <c r="M542" s="11"/>
      <c r="N542" s="17" t="str">
        <f aca="false">IF(OR(J542="",K542="",J542=0),"",(J542-K542)/J542)</f>
        <v/>
      </c>
      <c r="O542" s="11"/>
    </row>
    <row r="543" customFormat="false" ht="15" hidden="false" customHeight="false" outlineLevel="0" collapsed="false">
      <c r="A543" s="11"/>
      <c r="B543" s="11"/>
      <c r="C543" s="11"/>
      <c r="D543" s="11"/>
      <c r="E543" s="11"/>
      <c r="F543" s="11"/>
      <c r="G543" s="11"/>
      <c r="H543" s="11"/>
      <c r="I543" s="11"/>
      <c r="J543" s="15"/>
      <c r="K543" s="15"/>
      <c r="L543" s="11"/>
      <c r="M543" s="11"/>
      <c r="N543" s="17" t="str">
        <f aca="false">IF(OR(J543="",K543="",J543=0),"",(J543-K543)/J543)</f>
        <v/>
      </c>
      <c r="O543" s="11"/>
    </row>
    <row r="544" customFormat="false" ht="15" hidden="false" customHeight="false" outlineLevel="0" collapsed="false">
      <c r="A544" s="11"/>
      <c r="B544" s="11"/>
      <c r="C544" s="11"/>
      <c r="D544" s="11"/>
      <c r="E544" s="11"/>
      <c r="F544" s="11"/>
      <c r="G544" s="11"/>
      <c r="H544" s="11"/>
      <c r="I544" s="11"/>
      <c r="J544" s="15"/>
      <c r="K544" s="15"/>
      <c r="L544" s="11"/>
      <c r="M544" s="11"/>
      <c r="N544" s="17" t="str">
        <f aca="false">IF(OR(J544="",K544="",J544=0),"",(J544-K544)/J544)</f>
        <v/>
      </c>
      <c r="O544" s="11"/>
    </row>
    <row r="545" customFormat="false" ht="15" hidden="false" customHeight="false" outlineLevel="0" collapsed="false">
      <c r="A545" s="11"/>
      <c r="B545" s="11"/>
      <c r="C545" s="11"/>
      <c r="D545" s="11"/>
      <c r="E545" s="11"/>
      <c r="F545" s="11"/>
      <c r="G545" s="11"/>
      <c r="H545" s="11"/>
      <c r="I545" s="11"/>
      <c r="J545" s="15"/>
      <c r="K545" s="15"/>
      <c r="L545" s="11"/>
      <c r="M545" s="11"/>
      <c r="N545" s="17" t="str">
        <f aca="false">IF(OR(J545="",K545="",J545=0),"",(J545-K545)/J545)</f>
        <v/>
      </c>
      <c r="O545" s="11"/>
    </row>
    <row r="546" customFormat="false" ht="15" hidden="false" customHeight="false" outlineLevel="0" collapsed="false">
      <c r="A546" s="11"/>
      <c r="B546" s="11"/>
      <c r="C546" s="11"/>
      <c r="D546" s="11"/>
      <c r="E546" s="11"/>
      <c r="F546" s="11"/>
      <c r="G546" s="11"/>
      <c r="H546" s="11"/>
      <c r="I546" s="11"/>
      <c r="J546" s="15"/>
      <c r="K546" s="15"/>
      <c r="L546" s="11"/>
      <c r="M546" s="11"/>
      <c r="N546" s="17" t="str">
        <f aca="false">IF(OR(J546="",K546="",J546=0),"",(J546-K546)/J546)</f>
        <v/>
      </c>
      <c r="O546" s="11"/>
    </row>
    <row r="547" customFormat="false" ht="15" hidden="false" customHeight="false" outlineLevel="0" collapsed="false">
      <c r="A547" s="11"/>
      <c r="B547" s="11"/>
      <c r="C547" s="11"/>
      <c r="D547" s="11"/>
      <c r="E547" s="11"/>
      <c r="F547" s="11"/>
      <c r="G547" s="11"/>
      <c r="H547" s="11"/>
      <c r="I547" s="11"/>
      <c r="J547" s="15"/>
      <c r="K547" s="15"/>
      <c r="L547" s="11"/>
      <c r="M547" s="11"/>
      <c r="N547" s="17" t="str">
        <f aca="false">IF(OR(J547="",K547="",J547=0),"",(J547-K547)/J547)</f>
        <v/>
      </c>
      <c r="O547" s="11"/>
    </row>
    <row r="548" customFormat="false" ht="15" hidden="false" customHeight="false" outlineLevel="0" collapsed="false">
      <c r="A548" s="11"/>
      <c r="B548" s="11"/>
      <c r="C548" s="11"/>
      <c r="D548" s="11"/>
      <c r="E548" s="11"/>
      <c r="F548" s="11"/>
      <c r="G548" s="11"/>
      <c r="H548" s="11"/>
      <c r="I548" s="11"/>
      <c r="J548" s="15"/>
      <c r="K548" s="15"/>
      <c r="L548" s="11"/>
      <c r="M548" s="11"/>
      <c r="N548" s="17" t="str">
        <f aca="false">IF(OR(J548="",K548="",J548=0),"",(J548-K548)/J548)</f>
        <v/>
      </c>
      <c r="O548" s="11"/>
    </row>
    <row r="549" customFormat="false" ht="15" hidden="false" customHeight="false" outlineLevel="0" collapsed="false">
      <c r="A549" s="11"/>
      <c r="B549" s="11"/>
      <c r="C549" s="11"/>
      <c r="D549" s="11"/>
      <c r="E549" s="11"/>
      <c r="F549" s="11"/>
      <c r="G549" s="11"/>
      <c r="H549" s="11"/>
      <c r="I549" s="11"/>
      <c r="J549" s="15"/>
      <c r="K549" s="15"/>
      <c r="L549" s="11"/>
      <c r="M549" s="11"/>
      <c r="N549" s="17" t="str">
        <f aca="false">IF(OR(J549="",K549="",J549=0),"",(J549-K549)/J549)</f>
        <v/>
      </c>
      <c r="O549" s="11"/>
    </row>
    <row r="550" customFormat="false" ht="15" hidden="false" customHeight="false" outlineLevel="0" collapsed="false">
      <c r="A550" s="11"/>
      <c r="B550" s="11"/>
      <c r="C550" s="11"/>
      <c r="D550" s="11"/>
      <c r="E550" s="11"/>
      <c r="F550" s="11"/>
      <c r="G550" s="11"/>
      <c r="H550" s="11"/>
      <c r="I550" s="11"/>
      <c r="J550" s="15"/>
      <c r="K550" s="15"/>
      <c r="L550" s="11"/>
      <c r="M550" s="11"/>
      <c r="N550" s="17" t="str">
        <f aca="false">IF(OR(J550="",K550="",J550=0),"",(J550-K550)/J550)</f>
        <v/>
      </c>
      <c r="O550" s="11"/>
    </row>
    <row r="551" customFormat="false" ht="15" hidden="false" customHeight="false" outlineLevel="0" collapsed="false">
      <c r="A551" s="11"/>
      <c r="B551" s="11"/>
      <c r="C551" s="11"/>
      <c r="D551" s="11"/>
      <c r="E551" s="11"/>
      <c r="F551" s="11"/>
      <c r="G551" s="11"/>
      <c r="H551" s="11"/>
      <c r="I551" s="11"/>
      <c r="J551" s="15"/>
      <c r="K551" s="15"/>
      <c r="L551" s="11"/>
      <c r="M551" s="11"/>
      <c r="N551" s="17" t="str">
        <f aca="false">IF(OR(J551="",K551="",J551=0),"",(J551-K551)/J551)</f>
        <v/>
      </c>
      <c r="O551" s="11"/>
    </row>
    <row r="552" customFormat="false" ht="15" hidden="false" customHeight="false" outlineLevel="0" collapsed="false">
      <c r="A552" s="11"/>
      <c r="B552" s="11"/>
      <c r="C552" s="11"/>
      <c r="D552" s="11"/>
      <c r="E552" s="11"/>
      <c r="F552" s="11"/>
      <c r="G552" s="11"/>
      <c r="H552" s="11"/>
      <c r="I552" s="11"/>
      <c r="J552" s="15"/>
      <c r="K552" s="15"/>
      <c r="L552" s="11"/>
      <c r="M552" s="11"/>
      <c r="N552" s="17" t="str">
        <f aca="false">IF(OR(J552="",K552="",J552=0),"",(J552-K552)/J552)</f>
        <v/>
      </c>
      <c r="O552" s="11"/>
    </row>
    <row r="553" customFormat="false" ht="15" hidden="false" customHeight="false" outlineLevel="0" collapsed="false">
      <c r="A553" s="11"/>
      <c r="B553" s="11"/>
      <c r="C553" s="11"/>
      <c r="D553" s="11"/>
      <c r="E553" s="11"/>
      <c r="F553" s="11"/>
      <c r="G553" s="11"/>
      <c r="H553" s="11"/>
      <c r="I553" s="11"/>
      <c r="J553" s="15"/>
      <c r="K553" s="15"/>
      <c r="L553" s="11"/>
      <c r="M553" s="11"/>
      <c r="N553" s="17" t="str">
        <f aca="false">IF(OR(J553="",K553="",J553=0),"",(J553-K553)/J553)</f>
        <v/>
      </c>
      <c r="O553" s="11"/>
    </row>
    <row r="554" customFormat="false" ht="15" hidden="false" customHeight="false" outlineLevel="0" collapsed="false">
      <c r="A554" s="11"/>
      <c r="B554" s="11"/>
      <c r="C554" s="11"/>
      <c r="D554" s="11"/>
      <c r="E554" s="11"/>
      <c r="F554" s="11"/>
      <c r="G554" s="11"/>
      <c r="H554" s="11"/>
      <c r="I554" s="11"/>
      <c r="J554" s="15"/>
      <c r="K554" s="15"/>
      <c r="L554" s="11"/>
      <c r="M554" s="11"/>
      <c r="N554" s="17" t="str">
        <f aca="false">IF(OR(J554="",K554="",J554=0),"",(J554-K554)/J554)</f>
        <v/>
      </c>
      <c r="O554" s="11"/>
    </row>
    <row r="555" customFormat="false" ht="15" hidden="false" customHeight="false" outlineLevel="0" collapsed="false">
      <c r="A555" s="11"/>
      <c r="B555" s="11"/>
      <c r="C555" s="11"/>
      <c r="D555" s="11"/>
      <c r="E555" s="11"/>
      <c r="F555" s="11"/>
      <c r="G555" s="11"/>
      <c r="H555" s="11"/>
      <c r="I555" s="11"/>
      <c r="J555" s="15"/>
      <c r="K555" s="15"/>
      <c r="L555" s="11"/>
      <c r="M555" s="11"/>
      <c r="N555" s="17" t="str">
        <f aca="false">IF(OR(J555="",K555="",J555=0),"",(J555-K555)/J555)</f>
        <v/>
      </c>
      <c r="O555" s="11"/>
    </row>
    <row r="556" customFormat="false" ht="15" hidden="false" customHeight="false" outlineLevel="0" collapsed="false">
      <c r="A556" s="11"/>
      <c r="B556" s="11"/>
      <c r="C556" s="11"/>
      <c r="D556" s="11"/>
      <c r="E556" s="11"/>
      <c r="F556" s="11"/>
      <c r="G556" s="11"/>
      <c r="H556" s="11"/>
      <c r="I556" s="11"/>
      <c r="J556" s="15"/>
      <c r="K556" s="15"/>
      <c r="L556" s="11"/>
      <c r="M556" s="11"/>
      <c r="N556" s="17" t="str">
        <f aca="false">IF(OR(J556="",K556="",J556=0),"",(J556-K556)/J556)</f>
        <v/>
      </c>
      <c r="O556" s="11"/>
    </row>
    <row r="557" customFormat="false" ht="15" hidden="false" customHeight="false" outlineLevel="0" collapsed="false">
      <c r="A557" s="11"/>
      <c r="B557" s="11"/>
      <c r="C557" s="11"/>
      <c r="D557" s="11"/>
      <c r="E557" s="11"/>
      <c r="F557" s="11"/>
      <c r="G557" s="11"/>
      <c r="H557" s="11"/>
      <c r="I557" s="11"/>
      <c r="J557" s="15"/>
      <c r="K557" s="15"/>
      <c r="L557" s="11"/>
      <c r="M557" s="11"/>
      <c r="N557" s="17" t="str">
        <f aca="false">IF(OR(J557="",K557="",J557=0),"",(J557-K557)/J557)</f>
        <v/>
      </c>
      <c r="O557" s="11"/>
    </row>
    <row r="558" customFormat="false" ht="15" hidden="false" customHeight="false" outlineLevel="0" collapsed="false">
      <c r="A558" s="11"/>
      <c r="B558" s="11"/>
      <c r="C558" s="11"/>
      <c r="D558" s="11"/>
      <c r="E558" s="11"/>
      <c r="F558" s="11"/>
      <c r="G558" s="11"/>
      <c r="H558" s="11"/>
      <c r="I558" s="11"/>
      <c r="J558" s="15"/>
      <c r="K558" s="15"/>
      <c r="L558" s="11"/>
      <c r="M558" s="11"/>
      <c r="N558" s="17" t="str">
        <f aca="false">IF(OR(J558="",K558="",J558=0),"",(J558-K558)/J558)</f>
        <v/>
      </c>
      <c r="O558" s="11"/>
    </row>
    <row r="559" customFormat="false" ht="15" hidden="false" customHeight="false" outlineLevel="0" collapsed="false">
      <c r="A559" s="11"/>
      <c r="B559" s="11"/>
      <c r="C559" s="11"/>
      <c r="D559" s="11"/>
      <c r="E559" s="11"/>
      <c r="F559" s="11"/>
      <c r="G559" s="11"/>
      <c r="H559" s="11"/>
      <c r="I559" s="11"/>
      <c r="J559" s="15"/>
      <c r="K559" s="15"/>
      <c r="L559" s="11"/>
      <c r="M559" s="11"/>
      <c r="N559" s="17" t="str">
        <f aca="false">IF(OR(J559="",K559="",J559=0),"",(J559-K559)/J559)</f>
        <v/>
      </c>
      <c r="O559" s="11"/>
    </row>
    <row r="560" customFormat="false" ht="15" hidden="false" customHeight="false" outlineLevel="0" collapsed="false">
      <c r="A560" s="11"/>
      <c r="B560" s="11"/>
      <c r="C560" s="11"/>
      <c r="D560" s="11"/>
      <c r="E560" s="11"/>
      <c r="F560" s="11"/>
      <c r="G560" s="11"/>
      <c r="H560" s="11"/>
      <c r="I560" s="11"/>
      <c r="J560" s="15"/>
      <c r="K560" s="15"/>
      <c r="L560" s="11"/>
      <c r="M560" s="11"/>
      <c r="N560" s="17" t="str">
        <f aca="false">IF(OR(J560="",K560="",J560=0),"",(J560-K560)/J560)</f>
        <v/>
      </c>
      <c r="O560" s="11"/>
    </row>
    <row r="561" customFormat="false" ht="15" hidden="false" customHeight="false" outlineLevel="0" collapsed="false">
      <c r="A561" s="11"/>
      <c r="B561" s="11"/>
      <c r="C561" s="11"/>
      <c r="D561" s="11"/>
      <c r="E561" s="11"/>
      <c r="F561" s="11"/>
      <c r="G561" s="11"/>
      <c r="H561" s="11"/>
      <c r="I561" s="11"/>
      <c r="J561" s="15"/>
      <c r="K561" s="15"/>
      <c r="L561" s="11"/>
      <c r="M561" s="11"/>
      <c r="N561" s="17" t="str">
        <f aca="false">IF(OR(J561="",K561="",J561=0),"",(J561-K561)/J561)</f>
        <v/>
      </c>
      <c r="O561" s="11"/>
    </row>
    <row r="562" customFormat="false" ht="15" hidden="false" customHeight="false" outlineLevel="0" collapsed="false">
      <c r="A562" s="11"/>
      <c r="B562" s="11"/>
      <c r="C562" s="11"/>
      <c r="D562" s="11"/>
      <c r="E562" s="11"/>
      <c r="F562" s="11"/>
      <c r="G562" s="11"/>
      <c r="H562" s="11"/>
      <c r="I562" s="11"/>
      <c r="J562" s="15"/>
      <c r="K562" s="15"/>
      <c r="L562" s="11"/>
      <c r="M562" s="11"/>
      <c r="N562" s="17" t="str">
        <f aca="false">IF(OR(J562="",K562="",J562=0),"",(J562-K562)/J562)</f>
        <v/>
      </c>
      <c r="O562" s="11"/>
    </row>
    <row r="563" customFormat="false" ht="15" hidden="false" customHeight="false" outlineLevel="0" collapsed="false">
      <c r="A563" s="11"/>
      <c r="B563" s="11"/>
      <c r="C563" s="11"/>
      <c r="D563" s="11"/>
      <c r="E563" s="11"/>
      <c r="F563" s="11"/>
      <c r="G563" s="11"/>
      <c r="H563" s="11"/>
      <c r="I563" s="11"/>
      <c r="J563" s="15"/>
      <c r="K563" s="15"/>
      <c r="L563" s="11"/>
      <c r="M563" s="11"/>
      <c r="N563" s="17" t="str">
        <f aca="false">IF(OR(J563="",K563="",J563=0),"",(J563-K563)/J563)</f>
        <v/>
      </c>
      <c r="O563" s="11"/>
    </row>
    <row r="564" customFormat="false" ht="15" hidden="false" customHeight="false" outlineLevel="0" collapsed="false">
      <c r="A564" s="11"/>
      <c r="B564" s="11"/>
      <c r="C564" s="11"/>
      <c r="D564" s="11"/>
      <c r="E564" s="11"/>
      <c r="F564" s="11"/>
      <c r="G564" s="11"/>
      <c r="H564" s="11"/>
      <c r="I564" s="11"/>
      <c r="J564" s="15"/>
      <c r="K564" s="15"/>
      <c r="L564" s="11"/>
      <c r="M564" s="11"/>
      <c r="N564" s="17" t="str">
        <f aca="false">IF(OR(J564="",K564="",J564=0),"",(J564-K564)/J564)</f>
        <v/>
      </c>
      <c r="O564" s="11"/>
    </row>
    <row r="565" customFormat="false" ht="15" hidden="false" customHeight="false" outlineLevel="0" collapsed="false">
      <c r="A565" s="11"/>
      <c r="B565" s="11"/>
      <c r="C565" s="11"/>
      <c r="D565" s="11"/>
      <c r="E565" s="11"/>
      <c r="F565" s="11"/>
      <c r="G565" s="11"/>
      <c r="H565" s="11"/>
      <c r="I565" s="11"/>
      <c r="J565" s="15"/>
      <c r="K565" s="15"/>
      <c r="L565" s="11"/>
      <c r="M565" s="11"/>
      <c r="N565" s="17" t="str">
        <f aca="false">IF(OR(J565="",K565="",J565=0),"",(J565-K565)/J565)</f>
        <v/>
      </c>
      <c r="O565" s="11"/>
    </row>
    <row r="566" customFormat="false" ht="15" hidden="false" customHeight="false" outlineLevel="0" collapsed="false">
      <c r="A566" s="11"/>
      <c r="B566" s="11"/>
      <c r="C566" s="11"/>
      <c r="D566" s="11"/>
      <c r="E566" s="11"/>
      <c r="F566" s="11"/>
      <c r="G566" s="11"/>
      <c r="H566" s="11"/>
      <c r="I566" s="11"/>
      <c r="J566" s="15"/>
      <c r="K566" s="15"/>
      <c r="L566" s="11"/>
      <c r="M566" s="11"/>
      <c r="N566" s="17" t="str">
        <f aca="false">IF(OR(J566="",K566="",J566=0),"",(J566-K566)/J566)</f>
        <v/>
      </c>
      <c r="O566" s="11"/>
    </row>
    <row r="567" customFormat="false" ht="15" hidden="false" customHeight="false" outlineLevel="0" collapsed="false">
      <c r="A567" s="11"/>
      <c r="B567" s="11"/>
      <c r="C567" s="11"/>
      <c r="D567" s="11"/>
      <c r="E567" s="11"/>
      <c r="F567" s="11"/>
      <c r="G567" s="11"/>
      <c r="H567" s="11"/>
      <c r="I567" s="11"/>
      <c r="J567" s="15"/>
      <c r="K567" s="15"/>
      <c r="L567" s="11"/>
      <c r="M567" s="11"/>
      <c r="N567" s="17" t="str">
        <f aca="false">IF(OR(J567="",K567="",J567=0),"",(J567-K567)/J567)</f>
        <v/>
      </c>
      <c r="O567" s="11"/>
    </row>
    <row r="568" customFormat="false" ht="15" hidden="false" customHeight="false" outlineLevel="0" collapsed="false">
      <c r="A568" s="11"/>
      <c r="B568" s="11"/>
      <c r="C568" s="11"/>
      <c r="D568" s="11"/>
      <c r="E568" s="11"/>
      <c r="F568" s="11"/>
      <c r="G568" s="11"/>
      <c r="H568" s="11"/>
      <c r="I568" s="11"/>
      <c r="J568" s="15"/>
      <c r="K568" s="15"/>
      <c r="L568" s="11"/>
      <c r="M568" s="11"/>
      <c r="N568" s="17" t="str">
        <f aca="false">IF(OR(J568="",K568="",J568=0),"",(J568-K568)/J568)</f>
        <v/>
      </c>
      <c r="O568" s="11"/>
    </row>
    <row r="569" customFormat="false" ht="15" hidden="false" customHeight="false" outlineLevel="0" collapsed="false">
      <c r="A569" s="11"/>
      <c r="B569" s="11"/>
      <c r="C569" s="11"/>
      <c r="D569" s="11"/>
      <c r="E569" s="11"/>
      <c r="F569" s="11"/>
      <c r="G569" s="11"/>
      <c r="H569" s="11"/>
      <c r="I569" s="11"/>
      <c r="J569" s="15"/>
      <c r="K569" s="15"/>
      <c r="L569" s="11"/>
      <c r="M569" s="11"/>
      <c r="N569" s="17" t="str">
        <f aca="false">IF(OR(J569="",K569="",J569=0),"",(J569-K569)/J569)</f>
        <v/>
      </c>
      <c r="O569" s="11"/>
    </row>
    <row r="570" customFormat="false" ht="15" hidden="false" customHeight="false" outlineLevel="0" collapsed="false">
      <c r="A570" s="11"/>
      <c r="B570" s="11"/>
      <c r="C570" s="11"/>
      <c r="D570" s="11"/>
      <c r="E570" s="11"/>
      <c r="F570" s="11"/>
      <c r="G570" s="11"/>
      <c r="H570" s="11"/>
      <c r="I570" s="11"/>
      <c r="J570" s="15"/>
      <c r="K570" s="15"/>
      <c r="L570" s="11"/>
      <c r="M570" s="11"/>
      <c r="N570" s="17" t="str">
        <f aca="false">IF(OR(J570="",K570="",J570=0),"",(J570-K570)/J570)</f>
        <v/>
      </c>
      <c r="O570" s="11"/>
    </row>
    <row r="571" customFormat="false" ht="15" hidden="false" customHeight="false" outlineLevel="0" collapsed="false">
      <c r="A571" s="11"/>
      <c r="B571" s="11"/>
      <c r="C571" s="11"/>
      <c r="D571" s="11"/>
      <c r="E571" s="11"/>
      <c r="F571" s="11"/>
      <c r="G571" s="11"/>
      <c r="H571" s="11"/>
      <c r="I571" s="11"/>
      <c r="J571" s="15"/>
      <c r="K571" s="15"/>
      <c r="L571" s="11"/>
      <c r="M571" s="11"/>
      <c r="N571" s="17" t="str">
        <f aca="false">IF(OR(J571="",K571="",J571=0),"",(J571-K571)/J571)</f>
        <v/>
      </c>
      <c r="O571" s="11"/>
    </row>
    <row r="572" customFormat="false" ht="15" hidden="false" customHeight="false" outlineLevel="0" collapsed="false">
      <c r="A572" s="11"/>
      <c r="B572" s="11"/>
      <c r="C572" s="11"/>
      <c r="D572" s="11"/>
      <c r="E572" s="11"/>
      <c r="F572" s="11"/>
      <c r="G572" s="11"/>
      <c r="H572" s="11"/>
      <c r="I572" s="11"/>
      <c r="J572" s="15"/>
      <c r="K572" s="15"/>
      <c r="L572" s="11"/>
      <c r="M572" s="11"/>
      <c r="N572" s="17" t="str">
        <f aca="false">IF(OR(J572="",K572="",J572=0),"",(J572-K572)/J572)</f>
        <v/>
      </c>
      <c r="O572" s="11"/>
    </row>
    <row r="573" customFormat="false" ht="15" hidden="false" customHeight="false" outlineLevel="0" collapsed="false">
      <c r="A573" s="11"/>
      <c r="B573" s="11"/>
      <c r="C573" s="11"/>
      <c r="D573" s="11"/>
      <c r="E573" s="11"/>
      <c r="F573" s="11"/>
      <c r="G573" s="11"/>
      <c r="H573" s="11"/>
      <c r="I573" s="11"/>
      <c r="J573" s="15"/>
      <c r="K573" s="15"/>
      <c r="L573" s="11"/>
      <c r="M573" s="11"/>
      <c r="N573" s="17" t="str">
        <f aca="false">IF(OR(J573="",K573="",J573=0),"",(J573-K573)/J573)</f>
        <v/>
      </c>
      <c r="O573" s="11"/>
    </row>
    <row r="574" customFormat="false" ht="15" hidden="false" customHeight="false" outlineLevel="0" collapsed="false">
      <c r="A574" s="11"/>
      <c r="B574" s="11"/>
      <c r="C574" s="11"/>
      <c r="D574" s="11"/>
      <c r="E574" s="11"/>
      <c r="F574" s="11"/>
      <c r="G574" s="11"/>
      <c r="H574" s="11"/>
      <c r="I574" s="11"/>
      <c r="J574" s="15"/>
      <c r="K574" s="15"/>
      <c r="L574" s="11"/>
      <c r="M574" s="11"/>
      <c r="N574" s="17" t="str">
        <f aca="false">IF(OR(J574="",K574="",J574=0),"",(J574-K574)/J574)</f>
        <v/>
      </c>
      <c r="O574" s="11"/>
    </row>
    <row r="575" customFormat="false" ht="15" hidden="false" customHeight="false" outlineLevel="0" collapsed="false">
      <c r="A575" s="11"/>
      <c r="B575" s="11"/>
      <c r="C575" s="11"/>
      <c r="D575" s="11"/>
      <c r="E575" s="11"/>
      <c r="F575" s="11"/>
      <c r="G575" s="11"/>
      <c r="H575" s="11"/>
      <c r="I575" s="11"/>
      <c r="J575" s="15"/>
      <c r="K575" s="15"/>
      <c r="L575" s="11"/>
      <c r="M575" s="11"/>
      <c r="N575" s="17" t="str">
        <f aca="false">IF(OR(J575="",K575="",J575=0),"",(J575-K575)/J575)</f>
        <v/>
      </c>
      <c r="O575" s="11"/>
    </row>
    <row r="576" customFormat="false" ht="15" hidden="false" customHeight="false" outlineLevel="0" collapsed="false">
      <c r="A576" s="11"/>
      <c r="B576" s="11"/>
      <c r="C576" s="11"/>
      <c r="D576" s="11"/>
      <c r="E576" s="11"/>
      <c r="F576" s="11"/>
      <c r="G576" s="11"/>
      <c r="H576" s="11"/>
      <c r="I576" s="11"/>
      <c r="J576" s="15"/>
      <c r="K576" s="15"/>
      <c r="L576" s="11"/>
      <c r="M576" s="11"/>
      <c r="N576" s="17" t="str">
        <f aca="false">IF(OR(J576="",K576="",J576=0),"",(J576-K576)/J576)</f>
        <v/>
      </c>
      <c r="O576" s="11"/>
    </row>
    <row r="577" customFormat="false" ht="15" hidden="false" customHeight="false" outlineLevel="0" collapsed="false">
      <c r="A577" s="11"/>
      <c r="B577" s="11"/>
      <c r="C577" s="11"/>
      <c r="D577" s="11"/>
      <c r="E577" s="11"/>
      <c r="F577" s="11"/>
      <c r="G577" s="11"/>
      <c r="H577" s="11"/>
      <c r="I577" s="11"/>
      <c r="J577" s="15"/>
      <c r="K577" s="15"/>
      <c r="L577" s="11"/>
      <c r="M577" s="11"/>
      <c r="N577" s="17" t="str">
        <f aca="false">IF(OR(J577="",K577="",J577=0),"",(J577-K577)/J577)</f>
        <v/>
      </c>
      <c r="O577" s="11"/>
    </row>
    <row r="578" customFormat="false" ht="15" hidden="false" customHeight="false" outlineLevel="0" collapsed="false">
      <c r="A578" s="11"/>
      <c r="B578" s="11"/>
      <c r="C578" s="11"/>
      <c r="D578" s="11"/>
      <c r="E578" s="11"/>
      <c r="F578" s="11"/>
      <c r="G578" s="11"/>
      <c r="H578" s="11"/>
      <c r="I578" s="11"/>
      <c r="J578" s="15"/>
      <c r="K578" s="15"/>
      <c r="L578" s="11"/>
      <c r="M578" s="11"/>
      <c r="N578" s="17" t="str">
        <f aca="false">IF(OR(J578="",K578="",J578=0),"",(J578-K578)/J578)</f>
        <v/>
      </c>
      <c r="O578" s="11"/>
    </row>
    <row r="579" customFormat="false" ht="15" hidden="false" customHeight="false" outlineLevel="0" collapsed="false">
      <c r="A579" s="11"/>
      <c r="B579" s="11"/>
      <c r="C579" s="11"/>
      <c r="D579" s="11"/>
      <c r="E579" s="11"/>
      <c r="F579" s="11"/>
      <c r="G579" s="11"/>
      <c r="H579" s="11"/>
      <c r="I579" s="11"/>
      <c r="J579" s="15"/>
      <c r="K579" s="15"/>
      <c r="L579" s="11"/>
      <c r="M579" s="11"/>
      <c r="N579" s="17" t="str">
        <f aca="false">IF(OR(J579="",K579="",J579=0),"",(J579-K579)/J579)</f>
        <v/>
      </c>
      <c r="O579" s="11"/>
    </row>
    <row r="580" customFormat="false" ht="15" hidden="false" customHeight="false" outlineLevel="0" collapsed="false">
      <c r="A580" s="11"/>
      <c r="B580" s="11"/>
      <c r="C580" s="11"/>
      <c r="D580" s="11"/>
      <c r="E580" s="11"/>
      <c r="F580" s="11"/>
      <c r="G580" s="11"/>
      <c r="H580" s="11"/>
      <c r="I580" s="11"/>
      <c r="J580" s="15"/>
      <c r="K580" s="15"/>
      <c r="L580" s="11"/>
      <c r="M580" s="11"/>
      <c r="N580" s="17" t="str">
        <f aca="false">IF(OR(J580="",K580="",J580=0),"",(J580-K580)/J580)</f>
        <v/>
      </c>
      <c r="O580" s="11"/>
    </row>
    <row r="581" customFormat="false" ht="15" hidden="false" customHeight="false" outlineLevel="0" collapsed="false">
      <c r="A581" s="11"/>
      <c r="B581" s="11"/>
      <c r="C581" s="11"/>
      <c r="D581" s="11"/>
      <c r="E581" s="11"/>
      <c r="F581" s="11"/>
      <c r="G581" s="11"/>
      <c r="H581" s="11"/>
      <c r="I581" s="11"/>
      <c r="J581" s="15"/>
      <c r="K581" s="15"/>
      <c r="L581" s="11"/>
      <c r="M581" s="11"/>
      <c r="N581" s="17" t="str">
        <f aca="false">IF(OR(J581="",K581="",J581=0),"",(J581-K581)/J581)</f>
        <v/>
      </c>
      <c r="O581" s="11"/>
    </row>
    <row r="582" customFormat="false" ht="15" hidden="false" customHeight="false" outlineLevel="0" collapsed="false">
      <c r="A582" s="11"/>
      <c r="B582" s="11"/>
      <c r="C582" s="11"/>
      <c r="D582" s="11"/>
      <c r="E582" s="11"/>
      <c r="F582" s="11"/>
      <c r="G582" s="11"/>
      <c r="H582" s="11"/>
      <c r="I582" s="11"/>
      <c r="J582" s="15"/>
      <c r="K582" s="15"/>
      <c r="L582" s="11"/>
      <c r="M582" s="11"/>
      <c r="N582" s="17" t="str">
        <f aca="false">IF(OR(J582="",K582="",J582=0),"",(J582-K582)/J582)</f>
        <v/>
      </c>
      <c r="O582" s="11"/>
    </row>
    <row r="583" customFormat="false" ht="15" hidden="false" customHeight="false" outlineLevel="0" collapsed="false">
      <c r="A583" s="11"/>
      <c r="B583" s="11"/>
      <c r="C583" s="11"/>
      <c r="D583" s="11"/>
      <c r="E583" s="11"/>
      <c r="F583" s="11"/>
      <c r="G583" s="11"/>
      <c r="H583" s="11"/>
      <c r="I583" s="11"/>
      <c r="J583" s="15"/>
      <c r="K583" s="15"/>
      <c r="L583" s="11"/>
      <c r="M583" s="11"/>
      <c r="N583" s="17" t="str">
        <f aca="false">IF(OR(J583="",K583="",J583=0),"",(J583-K583)/J583)</f>
        <v/>
      </c>
      <c r="O583" s="11"/>
    </row>
    <row r="584" customFormat="false" ht="15" hidden="false" customHeight="false" outlineLevel="0" collapsed="false">
      <c r="A584" s="11"/>
      <c r="B584" s="11"/>
      <c r="C584" s="11"/>
      <c r="D584" s="11"/>
      <c r="E584" s="11"/>
      <c r="F584" s="11"/>
      <c r="G584" s="11"/>
      <c r="H584" s="11"/>
      <c r="I584" s="11"/>
      <c r="J584" s="15"/>
      <c r="K584" s="15"/>
      <c r="L584" s="11"/>
      <c r="M584" s="11"/>
      <c r="N584" s="17" t="str">
        <f aca="false">IF(OR(J584="",K584="",J584=0),"",(J584-K584)/J584)</f>
        <v/>
      </c>
      <c r="O584" s="11"/>
    </row>
    <row r="585" customFormat="false" ht="15" hidden="false" customHeight="false" outlineLevel="0" collapsed="false">
      <c r="A585" s="11"/>
      <c r="B585" s="11"/>
      <c r="C585" s="11"/>
      <c r="D585" s="11"/>
      <c r="E585" s="11"/>
      <c r="F585" s="11"/>
      <c r="G585" s="11"/>
      <c r="H585" s="11"/>
      <c r="I585" s="11"/>
      <c r="J585" s="15"/>
      <c r="K585" s="15"/>
      <c r="L585" s="11"/>
      <c r="M585" s="11"/>
      <c r="N585" s="17" t="str">
        <f aca="false">IF(OR(J585="",K585="",J585=0),"",(J585-K585)/J585)</f>
        <v/>
      </c>
      <c r="O585" s="11"/>
    </row>
    <row r="586" customFormat="false" ht="15" hidden="false" customHeight="false" outlineLevel="0" collapsed="false">
      <c r="A586" s="11"/>
      <c r="B586" s="11"/>
      <c r="C586" s="11"/>
      <c r="D586" s="11"/>
      <c r="E586" s="11"/>
      <c r="F586" s="11"/>
      <c r="G586" s="11"/>
      <c r="H586" s="11"/>
      <c r="I586" s="11"/>
      <c r="J586" s="15"/>
      <c r="K586" s="15"/>
      <c r="L586" s="11"/>
      <c r="M586" s="11"/>
      <c r="N586" s="17" t="str">
        <f aca="false">IF(OR(J586="",K586="",J586=0),"",(J586-K586)/J586)</f>
        <v/>
      </c>
      <c r="O586" s="11"/>
    </row>
    <row r="587" customFormat="false" ht="15" hidden="false" customHeight="false" outlineLevel="0" collapsed="false">
      <c r="A587" s="11"/>
      <c r="B587" s="11"/>
      <c r="C587" s="11"/>
      <c r="D587" s="11"/>
      <c r="E587" s="11"/>
      <c r="F587" s="11"/>
      <c r="G587" s="11"/>
      <c r="H587" s="11"/>
      <c r="I587" s="11"/>
      <c r="J587" s="15"/>
      <c r="K587" s="15"/>
      <c r="L587" s="11"/>
      <c r="M587" s="11"/>
      <c r="N587" s="17" t="str">
        <f aca="false">IF(OR(J587="",K587="",J587=0),"",(J587-K587)/J587)</f>
        <v/>
      </c>
      <c r="O587" s="11"/>
    </row>
    <row r="588" customFormat="false" ht="15" hidden="false" customHeight="false" outlineLevel="0" collapsed="false">
      <c r="A588" s="11"/>
      <c r="B588" s="11"/>
      <c r="C588" s="11"/>
      <c r="D588" s="11"/>
      <c r="E588" s="11"/>
      <c r="F588" s="11"/>
      <c r="G588" s="11"/>
      <c r="H588" s="11"/>
      <c r="I588" s="11"/>
      <c r="J588" s="15"/>
      <c r="K588" s="15"/>
      <c r="L588" s="11"/>
      <c r="M588" s="11"/>
      <c r="N588" s="17" t="str">
        <f aca="false">IF(OR(J588="",K588="",J588=0),"",(J588-K588)/J588)</f>
        <v/>
      </c>
      <c r="O588" s="11"/>
    </row>
    <row r="589" customFormat="false" ht="15" hidden="false" customHeight="false" outlineLevel="0" collapsed="false">
      <c r="A589" s="11"/>
      <c r="B589" s="11"/>
      <c r="C589" s="11"/>
      <c r="D589" s="11"/>
      <c r="E589" s="11"/>
      <c r="F589" s="11"/>
      <c r="G589" s="11"/>
      <c r="H589" s="11"/>
      <c r="I589" s="11"/>
      <c r="J589" s="15"/>
      <c r="K589" s="15"/>
      <c r="L589" s="11"/>
      <c r="M589" s="11"/>
      <c r="N589" s="17" t="str">
        <f aca="false">IF(OR(J589="",K589="",J589=0),"",(J589-K589)/J589)</f>
        <v/>
      </c>
      <c r="O589" s="11"/>
    </row>
    <row r="590" customFormat="false" ht="15" hidden="false" customHeight="false" outlineLevel="0" collapsed="false">
      <c r="A590" s="11"/>
      <c r="B590" s="11"/>
      <c r="C590" s="11"/>
      <c r="D590" s="11"/>
      <c r="E590" s="11"/>
      <c r="F590" s="11"/>
      <c r="G590" s="11"/>
      <c r="H590" s="11"/>
      <c r="I590" s="11"/>
      <c r="J590" s="15"/>
      <c r="K590" s="15"/>
      <c r="L590" s="11"/>
      <c r="M590" s="11"/>
      <c r="N590" s="17" t="str">
        <f aca="false">IF(OR(J590="",K590="",J590=0),"",(J590-K590)/J590)</f>
        <v/>
      </c>
      <c r="O590" s="11"/>
    </row>
    <row r="591" customFormat="false" ht="15" hidden="false" customHeight="false" outlineLevel="0" collapsed="false">
      <c r="A591" s="11"/>
      <c r="B591" s="11"/>
      <c r="C591" s="11"/>
      <c r="D591" s="11"/>
      <c r="E591" s="11"/>
      <c r="F591" s="11"/>
      <c r="G591" s="11"/>
      <c r="H591" s="11"/>
      <c r="I591" s="11"/>
      <c r="J591" s="15"/>
      <c r="K591" s="15"/>
      <c r="L591" s="11"/>
      <c r="M591" s="11"/>
      <c r="N591" s="17" t="str">
        <f aca="false">IF(OR(J591="",K591="",J591=0),"",(J591-K591)/J591)</f>
        <v/>
      </c>
      <c r="O591" s="11"/>
    </row>
    <row r="592" customFormat="false" ht="15" hidden="false" customHeight="false" outlineLevel="0" collapsed="false">
      <c r="A592" s="11"/>
      <c r="B592" s="11"/>
      <c r="C592" s="11"/>
      <c r="D592" s="11"/>
      <c r="E592" s="11"/>
      <c r="F592" s="11"/>
      <c r="G592" s="11"/>
      <c r="H592" s="11"/>
      <c r="I592" s="11"/>
      <c r="J592" s="15"/>
      <c r="K592" s="15"/>
      <c r="L592" s="11"/>
      <c r="M592" s="11"/>
      <c r="N592" s="17" t="str">
        <f aca="false">IF(OR(J592="",K592="",J592=0),"",(J592-K592)/J592)</f>
        <v/>
      </c>
      <c r="O592" s="11"/>
    </row>
    <row r="593" customFormat="false" ht="15" hidden="false" customHeight="false" outlineLevel="0" collapsed="false">
      <c r="A593" s="11"/>
      <c r="B593" s="11"/>
      <c r="C593" s="11"/>
      <c r="D593" s="11"/>
      <c r="E593" s="11"/>
      <c r="F593" s="11"/>
      <c r="G593" s="11"/>
      <c r="H593" s="11"/>
      <c r="I593" s="11"/>
      <c r="J593" s="15"/>
      <c r="K593" s="15"/>
      <c r="L593" s="11"/>
      <c r="M593" s="11"/>
      <c r="N593" s="17" t="str">
        <f aca="false">IF(OR(J593="",K593="",J593=0),"",(J593-K593)/J593)</f>
        <v/>
      </c>
      <c r="O593" s="11"/>
    </row>
    <row r="594" customFormat="false" ht="15" hidden="false" customHeight="false" outlineLevel="0" collapsed="false">
      <c r="A594" s="11"/>
      <c r="B594" s="11"/>
      <c r="C594" s="11"/>
      <c r="D594" s="11"/>
      <c r="E594" s="11"/>
      <c r="F594" s="11"/>
      <c r="G594" s="11"/>
      <c r="H594" s="11"/>
      <c r="I594" s="11"/>
      <c r="J594" s="15"/>
      <c r="K594" s="15"/>
      <c r="L594" s="11"/>
      <c r="M594" s="11"/>
      <c r="N594" s="17" t="str">
        <f aca="false">IF(OR(J594="",K594="",J594=0),"",(J594-K594)/J594)</f>
        <v/>
      </c>
      <c r="O594" s="11"/>
    </row>
    <row r="595" customFormat="false" ht="15" hidden="false" customHeight="false" outlineLevel="0" collapsed="false">
      <c r="A595" s="11"/>
      <c r="B595" s="11"/>
      <c r="C595" s="11"/>
      <c r="D595" s="11"/>
      <c r="E595" s="11"/>
      <c r="F595" s="11"/>
      <c r="G595" s="11"/>
      <c r="H595" s="11"/>
      <c r="I595" s="11"/>
      <c r="J595" s="15"/>
      <c r="K595" s="15"/>
      <c r="L595" s="11"/>
      <c r="M595" s="11"/>
      <c r="N595" s="17" t="str">
        <f aca="false">IF(OR(J595="",K595="",J595=0),"",(J595-K595)/J595)</f>
        <v/>
      </c>
      <c r="O595" s="11"/>
    </row>
    <row r="596" customFormat="false" ht="15" hidden="false" customHeight="false" outlineLevel="0" collapsed="false">
      <c r="A596" s="11"/>
      <c r="B596" s="11"/>
      <c r="C596" s="11"/>
      <c r="D596" s="11"/>
      <c r="E596" s="11"/>
      <c r="F596" s="11"/>
      <c r="G596" s="11"/>
      <c r="H596" s="11"/>
      <c r="I596" s="11"/>
      <c r="J596" s="15"/>
      <c r="K596" s="15"/>
      <c r="L596" s="11"/>
      <c r="M596" s="11"/>
      <c r="N596" s="17" t="str">
        <f aca="false">IF(OR(J596="",K596="",J596=0),"",(J596-K596)/J596)</f>
        <v/>
      </c>
      <c r="O596" s="11"/>
    </row>
    <row r="597" customFormat="false" ht="15" hidden="false" customHeight="false" outlineLevel="0" collapsed="false">
      <c r="A597" s="11"/>
      <c r="B597" s="11"/>
      <c r="C597" s="11"/>
      <c r="D597" s="11"/>
      <c r="E597" s="11"/>
      <c r="F597" s="11"/>
      <c r="G597" s="11"/>
      <c r="H597" s="11"/>
      <c r="I597" s="11"/>
      <c r="J597" s="15"/>
      <c r="K597" s="15"/>
      <c r="L597" s="11"/>
      <c r="M597" s="11"/>
      <c r="N597" s="17" t="str">
        <f aca="false">IF(OR(J597="",K597="",J597=0),"",(J597-K597)/J597)</f>
        <v/>
      </c>
      <c r="O597" s="11"/>
    </row>
    <row r="598" customFormat="false" ht="15" hidden="false" customHeight="false" outlineLevel="0" collapsed="false">
      <c r="A598" s="11"/>
      <c r="B598" s="11"/>
      <c r="C598" s="11"/>
      <c r="D598" s="11"/>
      <c r="E598" s="11"/>
      <c r="F598" s="11"/>
      <c r="G598" s="11"/>
      <c r="H598" s="11"/>
      <c r="I598" s="11"/>
      <c r="J598" s="15"/>
      <c r="K598" s="15"/>
      <c r="L598" s="11"/>
      <c r="M598" s="11"/>
      <c r="N598" s="17" t="str">
        <f aca="false">IF(OR(J598="",K598="",J598=0),"",(J598-K598)/J598)</f>
        <v/>
      </c>
      <c r="O598" s="11"/>
    </row>
    <row r="599" customFormat="false" ht="15" hidden="false" customHeight="false" outlineLevel="0" collapsed="false">
      <c r="A599" s="11"/>
      <c r="B599" s="11"/>
      <c r="C599" s="11"/>
      <c r="D599" s="11"/>
      <c r="E599" s="11"/>
      <c r="F599" s="11"/>
      <c r="G599" s="11"/>
      <c r="H599" s="11"/>
      <c r="I599" s="11"/>
      <c r="J599" s="15"/>
      <c r="K599" s="15"/>
      <c r="L599" s="11"/>
      <c r="M599" s="11"/>
      <c r="N599" s="17" t="str">
        <f aca="false">IF(OR(J599="",K599="",J599=0),"",(J599-K599)/J599)</f>
        <v/>
      </c>
      <c r="O599" s="11"/>
    </row>
    <row r="600" customFormat="false" ht="15" hidden="false" customHeight="false" outlineLevel="0" collapsed="false">
      <c r="A600" s="11"/>
      <c r="B600" s="11"/>
      <c r="C600" s="11"/>
      <c r="D600" s="11"/>
      <c r="E600" s="11"/>
      <c r="F600" s="11"/>
      <c r="G600" s="11"/>
      <c r="H600" s="11"/>
      <c r="I600" s="11"/>
      <c r="J600" s="15"/>
      <c r="K600" s="15"/>
      <c r="L600" s="11"/>
      <c r="M600" s="11"/>
      <c r="N600" s="17" t="str">
        <f aca="false">IF(OR(J600="",K600="",J600=0),"",(J600-K600)/J600)</f>
        <v/>
      </c>
      <c r="O600" s="11"/>
    </row>
    <row r="601" customFormat="false" ht="15" hidden="false" customHeight="false" outlineLevel="0" collapsed="false">
      <c r="A601" s="11"/>
      <c r="B601" s="11"/>
      <c r="C601" s="11"/>
      <c r="D601" s="11"/>
      <c r="E601" s="11"/>
      <c r="F601" s="11"/>
      <c r="G601" s="11"/>
      <c r="H601" s="11"/>
      <c r="I601" s="11"/>
      <c r="J601" s="15"/>
      <c r="K601" s="15"/>
      <c r="L601" s="11"/>
      <c r="M601" s="11"/>
      <c r="N601" s="17" t="str">
        <f aca="false">IF(OR(J601="",K601="",J601=0),"",(J601-K601)/J601)</f>
        <v/>
      </c>
      <c r="O601" s="11"/>
    </row>
    <row r="602" customFormat="false" ht="15" hidden="false" customHeight="false" outlineLevel="0" collapsed="false">
      <c r="A602" s="11"/>
      <c r="B602" s="11"/>
      <c r="C602" s="11"/>
      <c r="D602" s="11"/>
      <c r="E602" s="11"/>
      <c r="F602" s="11"/>
      <c r="G602" s="11"/>
      <c r="H602" s="11"/>
      <c r="I602" s="11"/>
      <c r="J602" s="15"/>
      <c r="K602" s="15"/>
      <c r="L602" s="11"/>
      <c r="M602" s="11"/>
      <c r="N602" s="17" t="str">
        <f aca="false">IF(OR(J602="",K602="",J602=0),"",(J602-K602)/J602)</f>
        <v/>
      </c>
      <c r="O602" s="11"/>
    </row>
    <row r="603" customFormat="false" ht="15" hidden="false" customHeight="false" outlineLevel="0" collapsed="false">
      <c r="A603" s="11"/>
      <c r="B603" s="11"/>
      <c r="C603" s="11"/>
      <c r="D603" s="11"/>
      <c r="E603" s="11"/>
      <c r="F603" s="11"/>
      <c r="G603" s="11"/>
      <c r="H603" s="11"/>
      <c r="I603" s="11"/>
      <c r="J603" s="15"/>
      <c r="K603" s="15"/>
      <c r="L603" s="11"/>
      <c r="M603" s="11"/>
      <c r="N603" s="17" t="str">
        <f aca="false">IF(OR(J603="",K603="",J603=0),"",(J603-K603)/J603)</f>
        <v/>
      </c>
      <c r="O603" s="11"/>
    </row>
    <row r="604" customFormat="false" ht="15" hidden="false" customHeight="false" outlineLevel="0" collapsed="false">
      <c r="A604" s="11"/>
      <c r="B604" s="11"/>
      <c r="C604" s="11"/>
      <c r="D604" s="11"/>
      <c r="E604" s="11"/>
      <c r="F604" s="11"/>
      <c r="G604" s="11"/>
      <c r="H604" s="11"/>
      <c r="I604" s="11"/>
      <c r="J604" s="15"/>
      <c r="K604" s="15"/>
      <c r="L604" s="11"/>
      <c r="M604" s="11"/>
      <c r="N604" s="17" t="str">
        <f aca="false">IF(OR(J604="",K604="",J604=0),"",(J604-K604)/J604)</f>
        <v/>
      </c>
      <c r="O604" s="11"/>
    </row>
    <row r="605" customFormat="false" ht="15" hidden="false" customHeight="false" outlineLevel="0" collapsed="false">
      <c r="A605" s="11"/>
      <c r="B605" s="11"/>
      <c r="C605" s="11"/>
      <c r="D605" s="11"/>
      <c r="E605" s="11"/>
      <c r="F605" s="11"/>
      <c r="G605" s="11"/>
      <c r="H605" s="11"/>
      <c r="I605" s="11"/>
      <c r="J605" s="15"/>
      <c r="K605" s="15"/>
      <c r="L605" s="11"/>
      <c r="M605" s="11"/>
      <c r="N605" s="17" t="str">
        <f aca="false">IF(OR(J605="",K605="",J605=0),"",(J605-K605)/J605)</f>
        <v/>
      </c>
      <c r="O605" s="11"/>
    </row>
    <row r="606" customFormat="false" ht="15" hidden="false" customHeight="false" outlineLevel="0" collapsed="false">
      <c r="A606" s="11"/>
      <c r="B606" s="11"/>
      <c r="C606" s="11"/>
      <c r="D606" s="11"/>
      <c r="E606" s="11"/>
      <c r="F606" s="11"/>
      <c r="G606" s="11"/>
      <c r="H606" s="11"/>
      <c r="I606" s="11"/>
      <c r="J606" s="15"/>
      <c r="K606" s="15"/>
      <c r="L606" s="11"/>
      <c r="M606" s="11"/>
      <c r="N606" s="17" t="str">
        <f aca="false">IF(OR(J606="",K606="",J606=0),"",(J606-K606)/J606)</f>
        <v/>
      </c>
      <c r="O606" s="11"/>
    </row>
    <row r="607" customFormat="false" ht="15" hidden="false" customHeight="false" outlineLevel="0" collapsed="false">
      <c r="A607" s="11"/>
      <c r="B607" s="11"/>
      <c r="C607" s="11"/>
      <c r="D607" s="11"/>
      <c r="E607" s="11"/>
      <c r="F607" s="11"/>
      <c r="G607" s="11"/>
      <c r="H607" s="11"/>
      <c r="I607" s="11"/>
      <c r="J607" s="15"/>
      <c r="K607" s="15"/>
      <c r="L607" s="11"/>
      <c r="M607" s="11"/>
      <c r="N607" s="17" t="str">
        <f aca="false">IF(OR(J607="",K607="",J607=0),"",(J607-K607)/J607)</f>
        <v/>
      </c>
      <c r="O607" s="11"/>
    </row>
    <row r="608" customFormat="false" ht="15" hidden="false" customHeight="false" outlineLevel="0" collapsed="false">
      <c r="A608" s="11"/>
      <c r="B608" s="11"/>
      <c r="C608" s="11"/>
      <c r="D608" s="11"/>
      <c r="E608" s="11"/>
      <c r="F608" s="11"/>
      <c r="G608" s="11"/>
      <c r="H608" s="11"/>
      <c r="I608" s="11"/>
      <c r="J608" s="15"/>
      <c r="K608" s="15"/>
      <c r="L608" s="11"/>
      <c r="M608" s="11"/>
      <c r="N608" s="17" t="str">
        <f aca="false">IF(OR(J608="",K608="",J608=0),"",(J608-K608)/J608)</f>
        <v/>
      </c>
      <c r="O608" s="11"/>
    </row>
    <row r="609" customFormat="false" ht="15" hidden="false" customHeight="false" outlineLevel="0" collapsed="false">
      <c r="A609" s="11"/>
      <c r="B609" s="11"/>
      <c r="C609" s="11"/>
      <c r="D609" s="11"/>
      <c r="E609" s="11"/>
      <c r="F609" s="11"/>
      <c r="G609" s="11"/>
      <c r="H609" s="11"/>
      <c r="I609" s="11"/>
      <c r="J609" s="15"/>
      <c r="K609" s="15"/>
      <c r="L609" s="11"/>
      <c r="M609" s="11"/>
      <c r="N609" s="17" t="str">
        <f aca="false">IF(OR(J609="",K609="",J609=0),"",(J609-K609)/J609)</f>
        <v/>
      </c>
      <c r="O609" s="11"/>
    </row>
    <row r="610" customFormat="false" ht="15" hidden="false" customHeight="false" outlineLevel="0" collapsed="false">
      <c r="A610" s="11"/>
      <c r="B610" s="11"/>
      <c r="C610" s="11"/>
      <c r="D610" s="11"/>
      <c r="E610" s="11"/>
      <c r="F610" s="11"/>
      <c r="G610" s="11"/>
      <c r="H610" s="11"/>
      <c r="I610" s="11"/>
      <c r="J610" s="15"/>
      <c r="K610" s="15"/>
      <c r="L610" s="11"/>
      <c r="M610" s="11"/>
      <c r="N610" s="17" t="str">
        <f aca="false">IF(OR(J610="",K610="",J610=0),"",(J610-K610)/J610)</f>
        <v/>
      </c>
      <c r="O610" s="11"/>
    </row>
    <row r="611" customFormat="false" ht="15" hidden="false" customHeight="false" outlineLevel="0" collapsed="false">
      <c r="A611" s="11"/>
      <c r="B611" s="11"/>
      <c r="C611" s="11"/>
      <c r="D611" s="11"/>
      <c r="E611" s="11"/>
      <c r="F611" s="11"/>
      <c r="G611" s="11"/>
      <c r="H611" s="11"/>
      <c r="I611" s="11"/>
      <c r="J611" s="15"/>
      <c r="K611" s="15"/>
      <c r="L611" s="11"/>
      <c r="M611" s="11"/>
      <c r="N611" s="17" t="str">
        <f aca="false">IF(OR(J611="",K611="",J611=0),"",(J611-K611)/J611)</f>
        <v/>
      </c>
      <c r="O611" s="11"/>
    </row>
    <row r="612" customFormat="false" ht="15" hidden="false" customHeight="false" outlineLevel="0" collapsed="false">
      <c r="A612" s="11"/>
      <c r="B612" s="11"/>
      <c r="C612" s="11"/>
      <c r="D612" s="11"/>
      <c r="E612" s="11"/>
      <c r="F612" s="11"/>
      <c r="G612" s="11"/>
      <c r="H612" s="11"/>
      <c r="I612" s="11"/>
      <c r="J612" s="15"/>
      <c r="K612" s="15"/>
      <c r="L612" s="11"/>
      <c r="M612" s="11"/>
      <c r="N612" s="17" t="str">
        <f aca="false">IF(OR(J612="",K612="",J612=0),"",(J612-K612)/J612)</f>
        <v/>
      </c>
      <c r="O612" s="11"/>
    </row>
    <row r="613" customFormat="false" ht="15" hidden="false" customHeight="false" outlineLevel="0" collapsed="false">
      <c r="A613" s="11"/>
      <c r="B613" s="11"/>
      <c r="C613" s="11"/>
      <c r="D613" s="11"/>
      <c r="E613" s="11"/>
      <c r="F613" s="11"/>
      <c r="G613" s="11"/>
      <c r="H613" s="11"/>
      <c r="I613" s="11"/>
      <c r="J613" s="15"/>
      <c r="K613" s="15"/>
      <c r="L613" s="11"/>
      <c r="M613" s="11"/>
      <c r="N613" s="17" t="str">
        <f aca="false">IF(OR(J613="",K613="",J613=0),"",(J613-K613)/J613)</f>
        <v/>
      </c>
      <c r="O613" s="11"/>
    </row>
    <row r="614" customFormat="false" ht="15" hidden="false" customHeight="false" outlineLevel="0" collapsed="false">
      <c r="A614" s="11"/>
      <c r="B614" s="11"/>
      <c r="C614" s="11"/>
      <c r="D614" s="11"/>
      <c r="E614" s="11"/>
      <c r="F614" s="11"/>
      <c r="G614" s="11"/>
      <c r="H614" s="11"/>
      <c r="I614" s="11"/>
      <c r="J614" s="15"/>
      <c r="K614" s="15"/>
      <c r="L614" s="11"/>
      <c r="M614" s="11"/>
      <c r="N614" s="17" t="str">
        <f aca="false">IF(OR(J614="",K614="",J614=0),"",(J614-K614)/J614)</f>
        <v/>
      </c>
      <c r="O614" s="11"/>
    </row>
    <row r="615" customFormat="false" ht="15" hidden="false" customHeight="false" outlineLevel="0" collapsed="false">
      <c r="A615" s="11"/>
      <c r="B615" s="11"/>
      <c r="C615" s="11"/>
      <c r="D615" s="11"/>
      <c r="E615" s="11"/>
      <c r="F615" s="11"/>
      <c r="G615" s="11"/>
      <c r="H615" s="11"/>
      <c r="I615" s="11"/>
      <c r="J615" s="15"/>
      <c r="K615" s="15"/>
      <c r="L615" s="11"/>
      <c r="M615" s="11"/>
      <c r="N615" s="17" t="str">
        <f aca="false">IF(OR(J615="",K615="",J615=0),"",(J615-K615)/J615)</f>
        <v/>
      </c>
      <c r="O615" s="11"/>
    </row>
    <row r="616" customFormat="false" ht="15" hidden="false" customHeight="false" outlineLevel="0" collapsed="false">
      <c r="A616" s="11"/>
      <c r="B616" s="11"/>
      <c r="C616" s="11"/>
      <c r="D616" s="11"/>
      <c r="E616" s="11"/>
      <c r="F616" s="11"/>
      <c r="G616" s="11"/>
      <c r="H616" s="11"/>
      <c r="I616" s="11"/>
      <c r="J616" s="15"/>
      <c r="K616" s="15"/>
      <c r="L616" s="11"/>
      <c r="M616" s="11"/>
      <c r="N616" s="17" t="str">
        <f aca="false">IF(OR(J616="",K616="",J616=0),"",(J616-K616)/J616)</f>
        <v/>
      </c>
      <c r="O616" s="11"/>
    </row>
    <row r="617" customFormat="false" ht="15" hidden="false" customHeight="false" outlineLevel="0" collapsed="false">
      <c r="A617" s="11"/>
      <c r="B617" s="11"/>
      <c r="C617" s="11"/>
      <c r="D617" s="11"/>
      <c r="E617" s="11"/>
      <c r="F617" s="11"/>
      <c r="G617" s="11"/>
      <c r="H617" s="11"/>
      <c r="I617" s="11"/>
      <c r="J617" s="15"/>
      <c r="K617" s="15"/>
      <c r="L617" s="11"/>
      <c r="M617" s="11"/>
      <c r="N617" s="17" t="str">
        <f aca="false">IF(OR(J617="",K617="",J617=0),"",(J617-K617)/J617)</f>
        <v/>
      </c>
      <c r="O617" s="11"/>
    </row>
    <row r="618" customFormat="false" ht="15" hidden="false" customHeight="false" outlineLevel="0" collapsed="false">
      <c r="A618" s="11"/>
      <c r="B618" s="11"/>
      <c r="C618" s="11"/>
      <c r="D618" s="11"/>
      <c r="E618" s="11"/>
      <c r="F618" s="11"/>
      <c r="G618" s="11"/>
      <c r="H618" s="11"/>
      <c r="I618" s="11"/>
      <c r="J618" s="15"/>
      <c r="K618" s="15"/>
      <c r="L618" s="11"/>
      <c r="M618" s="11"/>
      <c r="N618" s="17" t="str">
        <f aca="false">IF(OR(J618="",K618="",J618=0),"",(J618-K618)/J618)</f>
        <v/>
      </c>
      <c r="O618" s="11"/>
    </row>
    <row r="619" customFormat="false" ht="15" hidden="false" customHeight="false" outlineLevel="0" collapsed="false">
      <c r="A619" s="11"/>
      <c r="B619" s="11"/>
      <c r="C619" s="11"/>
      <c r="D619" s="11"/>
      <c r="E619" s="11"/>
      <c r="F619" s="11"/>
      <c r="G619" s="11"/>
      <c r="H619" s="11"/>
      <c r="I619" s="11"/>
      <c r="J619" s="15"/>
      <c r="K619" s="15"/>
      <c r="L619" s="11"/>
      <c r="M619" s="11"/>
      <c r="N619" s="17" t="str">
        <f aca="false">IF(OR(J619="",K619="",J619=0),"",(J619-K619)/J619)</f>
        <v/>
      </c>
      <c r="O619" s="11"/>
    </row>
    <row r="620" customFormat="false" ht="15" hidden="false" customHeight="false" outlineLevel="0" collapsed="false">
      <c r="A620" s="11"/>
      <c r="B620" s="11"/>
      <c r="C620" s="11"/>
      <c r="D620" s="11"/>
      <c r="E620" s="11"/>
      <c r="F620" s="11"/>
      <c r="G620" s="11"/>
      <c r="H620" s="11"/>
      <c r="I620" s="11"/>
      <c r="J620" s="15"/>
      <c r="K620" s="15"/>
      <c r="L620" s="11"/>
      <c r="M620" s="11"/>
      <c r="N620" s="17" t="str">
        <f aca="false">IF(OR(J620="",K620="",J620=0),"",(J620-K620)/J620)</f>
        <v/>
      </c>
      <c r="O620" s="11"/>
    </row>
    <row r="621" customFormat="false" ht="15" hidden="false" customHeight="false" outlineLevel="0" collapsed="false">
      <c r="A621" s="11"/>
      <c r="B621" s="11"/>
      <c r="C621" s="11"/>
      <c r="D621" s="11"/>
      <c r="E621" s="11"/>
      <c r="F621" s="11"/>
      <c r="G621" s="11"/>
      <c r="H621" s="11"/>
      <c r="I621" s="11"/>
      <c r="J621" s="15"/>
      <c r="K621" s="15"/>
      <c r="L621" s="11"/>
      <c r="M621" s="11"/>
      <c r="N621" s="17" t="str">
        <f aca="false">IF(OR(J621="",K621="",J621=0),"",(J621-K621)/J621)</f>
        <v/>
      </c>
      <c r="O621" s="11"/>
    </row>
    <row r="622" customFormat="false" ht="15" hidden="false" customHeight="false" outlineLevel="0" collapsed="false">
      <c r="A622" s="11"/>
      <c r="B622" s="11"/>
      <c r="C622" s="11"/>
      <c r="D622" s="11"/>
      <c r="E622" s="11"/>
      <c r="F622" s="11"/>
      <c r="G622" s="11"/>
      <c r="H622" s="11"/>
      <c r="I622" s="11"/>
      <c r="J622" s="15"/>
      <c r="K622" s="15"/>
      <c r="L622" s="11"/>
      <c r="M622" s="11"/>
      <c r="N622" s="17" t="str">
        <f aca="false">IF(OR(J622="",K622="",J622=0),"",(J622-K622)/J622)</f>
        <v/>
      </c>
      <c r="O622" s="11"/>
    </row>
    <row r="623" customFormat="false" ht="15" hidden="false" customHeight="false" outlineLevel="0" collapsed="false">
      <c r="A623" s="11"/>
      <c r="B623" s="11"/>
      <c r="C623" s="11"/>
      <c r="D623" s="11"/>
      <c r="E623" s="11"/>
      <c r="F623" s="11"/>
      <c r="G623" s="11"/>
      <c r="H623" s="11"/>
      <c r="I623" s="11"/>
      <c r="J623" s="15"/>
      <c r="K623" s="15"/>
      <c r="L623" s="11"/>
      <c r="M623" s="11"/>
      <c r="N623" s="17" t="str">
        <f aca="false">IF(OR(J623="",K623="",J623=0),"",(J623-K623)/J623)</f>
        <v/>
      </c>
      <c r="O623" s="11"/>
    </row>
    <row r="624" customFormat="false" ht="15" hidden="false" customHeight="false" outlineLevel="0" collapsed="false">
      <c r="A624" s="11"/>
      <c r="B624" s="11"/>
      <c r="C624" s="11"/>
      <c r="D624" s="11"/>
      <c r="E624" s="11"/>
      <c r="F624" s="11"/>
      <c r="G624" s="11"/>
      <c r="H624" s="11"/>
      <c r="I624" s="11"/>
      <c r="J624" s="15"/>
      <c r="K624" s="15"/>
      <c r="L624" s="11"/>
      <c r="M624" s="11"/>
      <c r="N624" s="17" t="str">
        <f aca="false">IF(OR(J624="",K624="",J624=0),"",(J624-K624)/J624)</f>
        <v/>
      </c>
      <c r="O624" s="11"/>
    </row>
    <row r="625" customFormat="false" ht="15" hidden="false" customHeight="false" outlineLevel="0" collapsed="false">
      <c r="A625" s="11"/>
      <c r="B625" s="11"/>
      <c r="C625" s="11"/>
      <c r="D625" s="11"/>
      <c r="E625" s="11"/>
      <c r="F625" s="11"/>
      <c r="G625" s="11"/>
      <c r="H625" s="11"/>
      <c r="I625" s="11"/>
      <c r="J625" s="15"/>
      <c r="K625" s="15"/>
      <c r="L625" s="11"/>
      <c r="M625" s="11"/>
      <c r="N625" s="17" t="str">
        <f aca="false">IF(OR(J625="",K625="",J625=0),"",(J625-K625)/J625)</f>
        <v/>
      </c>
      <c r="O625" s="11"/>
    </row>
    <row r="626" customFormat="false" ht="15" hidden="false" customHeight="false" outlineLevel="0" collapsed="false">
      <c r="A626" s="11"/>
      <c r="B626" s="11"/>
      <c r="C626" s="11"/>
      <c r="D626" s="11"/>
      <c r="E626" s="11"/>
      <c r="F626" s="11"/>
      <c r="G626" s="11"/>
      <c r="H626" s="11"/>
      <c r="I626" s="11"/>
      <c r="J626" s="15"/>
      <c r="K626" s="15"/>
      <c r="L626" s="11"/>
      <c r="M626" s="11"/>
      <c r="N626" s="17" t="str">
        <f aca="false">IF(OR(J626="",K626="",J626=0),"",(J626-K626)/J626)</f>
        <v/>
      </c>
      <c r="O626" s="11"/>
    </row>
    <row r="627" customFormat="false" ht="15" hidden="false" customHeight="false" outlineLevel="0" collapsed="false">
      <c r="A627" s="11"/>
      <c r="B627" s="11"/>
      <c r="C627" s="11"/>
      <c r="D627" s="11"/>
      <c r="E627" s="11"/>
      <c r="F627" s="11"/>
      <c r="G627" s="11"/>
      <c r="H627" s="11"/>
      <c r="I627" s="11"/>
      <c r="J627" s="15"/>
      <c r="K627" s="15"/>
      <c r="L627" s="11"/>
      <c r="M627" s="11"/>
      <c r="N627" s="17" t="str">
        <f aca="false">IF(OR(J627="",K627="",J627=0),"",(J627-K627)/J627)</f>
        <v/>
      </c>
      <c r="O627" s="11"/>
    </row>
    <row r="628" customFormat="false" ht="15" hidden="false" customHeight="false" outlineLevel="0" collapsed="false">
      <c r="A628" s="11"/>
      <c r="B628" s="11"/>
      <c r="C628" s="11"/>
      <c r="D628" s="11"/>
      <c r="E628" s="11"/>
      <c r="F628" s="11"/>
      <c r="G628" s="11"/>
      <c r="H628" s="11"/>
      <c r="I628" s="11"/>
      <c r="J628" s="15"/>
      <c r="K628" s="15"/>
      <c r="L628" s="11"/>
      <c r="M628" s="11"/>
      <c r="N628" s="17" t="str">
        <f aca="false">IF(OR(J628="",K628="",J628=0),"",(J628-K628)/J628)</f>
        <v/>
      </c>
      <c r="O628" s="11"/>
    </row>
    <row r="629" customFormat="false" ht="15" hidden="false" customHeight="false" outlineLevel="0" collapsed="false">
      <c r="A629" s="11"/>
      <c r="B629" s="11"/>
      <c r="C629" s="11"/>
      <c r="D629" s="11"/>
      <c r="E629" s="11"/>
      <c r="F629" s="11"/>
      <c r="G629" s="11"/>
      <c r="H629" s="11"/>
      <c r="I629" s="11"/>
      <c r="J629" s="15"/>
      <c r="K629" s="15"/>
      <c r="L629" s="11"/>
      <c r="M629" s="11"/>
      <c r="N629" s="17" t="str">
        <f aca="false">IF(OR(J629="",K629="",J629=0),"",(J629-K629)/J629)</f>
        <v/>
      </c>
      <c r="O629" s="11"/>
    </row>
    <row r="630" customFormat="false" ht="15" hidden="false" customHeight="false" outlineLevel="0" collapsed="false">
      <c r="A630" s="11"/>
      <c r="B630" s="11"/>
      <c r="C630" s="11"/>
      <c r="D630" s="11"/>
      <c r="E630" s="11"/>
      <c r="F630" s="11"/>
      <c r="G630" s="11"/>
      <c r="H630" s="11"/>
      <c r="I630" s="11"/>
      <c r="J630" s="15"/>
      <c r="K630" s="15"/>
      <c r="L630" s="11"/>
      <c r="M630" s="11"/>
      <c r="N630" s="17" t="str">
        <f aca="false">IF(OR(J630="",K630="",J630=0),"",(J630-K630)/J630)</f>
        <v/>
      </c>
      <c r="O630" s="11"/>
    </row>
    <row r="631" customFormat="false" ht="15" hidden="false" customHeight="false" outlineLevel="0" collapsed="false">
      <c r="A631" s="11"/>
      <c r="B631" s="11"/>
      <c r="C631" s="11"/>
      <c r="D631" s="11"/>
      <c r="E631" s="11"/>
      <c r="F631" s="11"/>
      <c r="G631" s="11"/>
      <c r="H631" s="11"/>
      <c r="I631" s="11"/>
      <c r="J631" s="15"/>
      <c r="K631" s="15"/>
      <c r="L631" s="11"/>
      <c r="M631" s="11"/>
      <c r="N631" s="17" t="str">
        <f aca="false">IF(OR(J631="",K631="",J631=0),"",(J631-K631)/J631)</f>
        <v/>
      </c>
      <c r="O631" s="11"/>
    </row>
    <row r="632" customFormat="false" ht="15" hidden="false" customHeight="false" outlineLevel="0" collapsed="false">
      <c r="A632" s="11"/>
      <c r="B632" s="11"/>
      <c r="C632" s="11"/>
      <c r="D632" s="11"/>
      <c r="E632" s="11"/>
      <c r="F632" s="11"/>
      <c r="G632" s="11"/>
      <c r="H632" s="11"/>
      <c r="I632" s="11"/>
      <c r="J632" s="15"/>
      <c r="K632" s="15"/>
      <c r="L632" s="11"/>
      <c r="M632" s="11"/>
      <c r="N632" s="17" t="str">
        <f aca="false">IF(OR(J632="",K632="",J632=0),"",(J632-K632)/J632)</f>
        <v/>
      </c>
      <c r="O632" s="11"/>
    </row>
    <row r="633" customFormat="false" ht="15" hidden="false" customHeight="false" outlineLevel="0" collapsed="false">
      <c r="A633" s="11"/>
      <c r="B633" s="11"/>
      <c r="C633" s="11"/>
      <c r="D633" s="11"/>
      <c r="E633" s="11"/>
      <c r="F633" s="11"/>
      <c r="G633" s="11"/>
      <c r="H633" s="11"/>
      <c r="I633" s="11"/>
      <c r="J633" s="15"/>
      <c r="K633" s="15"/>
      <c r="L633" s="11"/>
      <c r="M633" s="11"/>
      <c r="N633" s="17" t="str">
        <f aca="false">IF(OR(J633="",K633="",J633=0),"",(J633-K633)/J633)</f>
        <v/>
      </c>
      <c r="O633" s="11"/>
    </row>
    <row r="634" customFormat="false" ht="15" hidden="false" customHeight="false" outlineLevel="0" collapsed="false">
      <c r="A634" s="11"/>
      <c r="B634" s="11"/>
      <c r="C634" s="11"/>
      <c r="D634" s="11"/>
      <c r="E634" s="11"/>
      <c r="F634" s="11"/>
      <c r="G634" s="11"/>
      <c r="H634" s="11"/>
      <c r="I634" s="11"/>
      <c r="J634" s="15"/>
      <c r="K634" s="15"/>
      <c r="L634" s="11"/>
      <c r="M634" s="11"/>
      <c r="N634" s="17" t="str">
        <f aca="false">IF(OR(J634="",K634="",J634=0),"",(J634-K634)/J634)</f>
        <v/>
      </c>
      <c r="O634" s="11"/>
    </row>
    <row r="635" customFormat="false" ht="15" hidden="false" customHeight="false" outlineLevel="0" collapsed="false">
      <c r="A635" s="11"/>
      <c r="B635" s="11"/>
      <c r="C635" s="11"/>
      <c r="D635" s="11"/>
      <c r="E635" s="11"/>
      <c r="F635" s="11"/>
      <c r="G635" s="11"/>
      <c r="H635" s="11"/>
      <c r="I635" s="11"/>
      <c r="J635" s="15"/>
      <c r="K635" s="15"/>
      <c r="L635" s="11"/>
      <c r="M635" s="11"/>
      <c r="N635" s="17" t="str">
        <f aca="false">IF(OR(J635="",K635="",J635=0),"",(J635-K635)/J635)</f>
        <v/>
      </c>
      <c r="O635" s="11"/>
    </row>
    <row r="636" customFormat="false" ht="15" hidden="false" customHeight="false" outlineLevel="0" collapsed="false">
      <c r="A636" s="11"/>
      <c r="B636" s="11"/>
      <c r="C636" s="11"/>
      <c r="D636" s="11"/>
      <c r="E636" s="11"/>
      <c r="F636" s="11"/>
      <c r="G636" s="11"/>
      <c r="H636" s="11"/>
      <c r="I636" s="11"/>
      <c r="J636" s="15"/>
      <c r="K636" s="15"/>
      <c r="L636" s="11"/>
      <c r="M636" s="11"/>
      <c r="N636" s="17" t="str">
        <f aca="false">IF(OR(J636="",K636="",J636=0),"",(J636-K636)/J636)</f>
        <v/>
      </c>
      <c r="O636" s="11"/>
    </row>
    <row r="637" customFormat="false" ht="15" hidden="false" customHeight="false" outlineLevel="0" collapsed="false">
      <c r="A637" s="11"/>
      <c r="B637" s="11"/>
      <c r="C637" s="11"/>
      <c r="D637" s="11"/>
      <c r="E637" s="11"/>
      <c r="F637" s="11"/>
      <c r="G637" s="11"/>
      <c r="H637" s="11"/>
      <c r="I637" s="11"/>
      <c r="J637" s="15"/>
      <c r="K637" s="15"/>
      <c r="L637" s="11"/>
      <c r="M637" s="11"/>
      <c r="N637" s="17" t="str">
        <f aca="false">IF(OR(J637="",K637="",J637=0),"",(J637-K637)/J637)</f>
        <v/>
      </c>
      <c r="O637" s="11"/>
    </row>
    <row r="638" customFormat="false" ht="15" hidden="false" customHeight="false" outlineLevel="0" collapsed="false">
      <c r="A638" s="11"/>
      <c r="B638" s="11"/>
      <c r="C638" s="11"/>
      <c r="D638" s="11"/>
      <c r="E638" s="11"/>
      <c r="F638" s="11"/>
      <c r="G638" s="11"/>
      <c r="H638" s="11"/>
      <c r="I638" s="11"/>
      <c r="J638" s="15"/>
      <c r="K638" s="15"/>
      <c r="L638" s="11"/>
      <c r="M638" s="11"/>
      <c r="N638" s="17" t="str">
        <f aca="false">IF(OR(J638="",K638="",J638=0),"",(J638-K638)/J638)</f>
        <v/>
      </c>
      <c r="O638" s="11"/>
    </row>
    <row r="639" customFormat="false" ht="15" hidden="false" customHeight="false" outlineLevel="0" collapsed="false">
      <c r="A639" s="11"/>
      <c r="B639" s="11"/>
      <c r="C639" s="11"/>
      <c r="D639" s="11"/>
      <c r="E639" s="11"/>
      <c r="F639" s="11"/>
      <c r="G639" s="11"/>
      <c r="H639" s="11"/>
      <c r="I639" s="11"/>
      <c r="J639" s="15"/>
      <c r="K639" s="15"/>
      <c r="L639" s="11"/>
      <c r="M639" s="11"/>
      <c r="N639" s="17" t="str">
        <f aca="false">IF(OR(J639="",K639="",J639=0),"",(J639-K639)/J639)</f>
        <v/>
      </c>
      <c r="O639" s="11"/>
    </row>
    <row r="640" customFormat="false" ht="15" hidden="false" customHeight="false" outlineLevel="0" collapsed="false">
      <c r="A640" s="11"/>
      <c r="B640" s="11"/>
      <c r="C640" s="11"/>
      <c r="D640" s="11"/>
      <c r="E640" s="11"/>
      <c r="F640" s="11"/>
      <c r="G640" s="11"/>
      <c r="H640" s="11"/>
      <c r="I640" s="11"/>
      <c r="J640" s="15"/>
      <c r="K640" s="15"/>
      <c r="L640" s="11"/>
      <c r="M640" s="11"/>
      <c r="N640" s="17" t="str">
        <f aca="false">IF(OR(J640="",K640="",J640=0),"",(J640-K640)/J640)</f>
        <v/>
      </c>
      <c r="O640" s="11"/>
    </row>
    <row r="641" customFormat="false" ht="15" hidden="false" customHeight="false" outlineLevel="0" collapsed="false">
      <c r="A641" s="11"/>
      <c r="B641" s="11"/>
      <c r="C641" s="11"/>
      <c r="D641" s="11"/>
      <c r="E641" s="11"/>
      <c r="F641" s="11"/>
      <c r="G641" s="11"/>
      <c r="H641" s="11"/>
      <c r="I641" s="11"/>
      <c r="J641" s="15"/>
      <c r="K641" s="15"/>
      <c r="L641" s="11"/>
      <c r="M641" s="11"/>
      <c r="N641" s="17" t="str">
        <f aca="false">IF(OR(J641="",K641="",J641=0),"",(J641-K641)/J641)</f>
        <v/>
      </c>
      <c r="O641" s="11"/>
    </row>
    <row r="642" customFormat="false" ht="15" hidden="false" customHeight="false" outlineLevel="0" collapsed="false">
      <c r="A642" s="11"/>
      <c r="B642" s="11"/>
      <c r="C642" s="11"/>
      <c r="D642" s="11"/>
      <c r="E642" s="11"/>
      <c r="F642" s="11"/>
      <c r="G642" s="11"/>
      <c r="H642" s="11"/>
      <c r="I642" s="11"/>
      <c r="J642" s="15"/>
      <c r="K642" s="15"/>
      <c r="L642" s="11"/>
      <c r="M642" s="11"/>
      <c r="N642" s="17" t="str">
        <f aca="false">IF(OR(J642="",K642="",J642=0),"",(J642-K642)/J642)</f>
        <v/>
      </c>
      <c r="O642" s="11"/>
    </row>
    <row r="643" customFormat="false" ht="15" hidden="false" customHeight="false" outlineLevel="0" collapsed="false">
      <c r="A643" s="11"/>
      <c r="B643" s="11"/>
      <c r="C643" s="11"/>
      <c r="D643" s="11"/>
      <c r="E643" s="11"/>
      <c r="F643" s="11"/>
      <c r="G643" s="11"/>
      <c r="H643" s="11"/>
      <c r="I643" s="11"/>
      <c r="J643" s="15"/>
      <c r="K643" s="15"/>
      <c r="L643" s="11"/>
      <c r="M643" s="11"/>
      <c r="N643" s="17" t="str">
        <f aca="false">IF(OR(J643="",K643="",J643=0),"",(J643-K643)/J643)</f>
        <v/>
      </c>
      <c r="O643" s="11"/>
    </row>
    <row r="644" customFormat="false" ht="15" hidden="false" customHeight="false" outlineLevel="0" collapsed="false">
      <c r="A644" s="11"/>
      <c r="B644" s="11"/>
      <c r="C644" s="11"/>
      <c r="D644" s="11"/>
      <c r="E644" s="11"/>
      <c r="F644" s="11"/>
      <c r="G644" s="11"/>
      <c r="H644" s="11"/>
      <c r="I644" s="11"/>
      <c r="J644" s="15"/>
      <c r="K644" s="15"/>
      <c r="L644" s="11"/>
      <c r="M644" s="11"/>
      <c r="N644" s="17" t="str">
        <f aca="false">IF(OR(J644="",K644="",J644=0),"",(J644-K644)/J644)</f>
        <v/>
      </c>
      <c r="O644" s="11"/>
    </row>
    <row r="645" customFormat="false" ht="15" hidden="false" customHeight="false" outlineLevel="0" collapsed="false">
      <c r="A645" s="11"/>
      <c r="B645" s="11"/>
      <c r="C645" s="11"/>
      <c r="D645" s="11"/>
      <c r="E645" s="11"/>
      <c r="F645" s="11"/>
      <c r="G645" s="11"/>
      <c r="H645" s="11"/>
      <c r="I645" s="11"/>
      <c r="J645" s="15"/>
      <c r="K645" s="15"/>
      <c r="L645" s="11"/>
      <c r="M645" s="11"/>
      <c r="N645" s="17" t="str">
        <f aca="false">IF(OR(J645="",K645="",J645=0),"",(J645-K645)/J645)</f>
        <v/>
      </c>
      <c r="O645" s="11"/>
    </row>
    <row r="646" customFormat="false" ht="15" hidden="false" customHeight="false" outlineLevel="0" collapsed="false">
      <c r="A646" s="11"/>
      <c r="B646" s="11"/>
      <c r="C646" s="11"/>
      <c r="D646" s="11"/>
      <c r="E646" s="11"/>
      <c r="F646" s="11"/>
      <c r="G646" s="11"/>
      <c r="H646" s="11"/>
      <c r="I646" s="11"/>
      <c r="J646" s="15"/>
      <c r="K646" s="15"/>
      <c r="L646" s="11"/>
      <c r="M646" s="11"/>
      <c r="N646" s="17" t="str">
        <f aca="false">IF(OR(J646="",K646="",J646=0),"",(J646-K646)/J646)</f>
        <v/>
      </c>
      <c r="O646" s="11"/>
    </row>
    <row r="647" customFormat="false" ht="15" hidden="false" customHeight="false" outlineLevel="0" collapsed="false">
      <c r="A647" s="11"/>
      <c r="B647" s="11"/>
      <c r="C647" s="11"/>
      <c r="D647" s="11"/>
      <c r="E647" s="11"/>
      <c r="F647" s="11"/>
      <c r="G647" s="11"/>
      <c r="H647" s="11"/>
      <c r="I647" s="11"/>
      <c r="J647" s="15"/>
      <c r="K647" s="15"/>
      <c r="L647" s="11"/>
      <c r="M647" s="11"/>
      <c r="N647" s="17" t="str">
        <f aca="false">IF(OR(J647="",K647="",J647=0),"",(J647-K647)/J647)</f>
        <v/>
      </c>
      <c r="O647" s="11"/>
    </row>
    <row r="648" customFormat="false" ht="15" hidden="false" customHeight="false" outlineLevel="0" collapsed="false">
      <c r="A648" s="11"/>
      <c r="B648" s="11"/>
      <c r="C648" s="11"/>
      <c r="D648" s="11"/>
      <c r="E648" s="11"/>
      <c r="F648" s="11"/>
      <c r="G648" s="11"/>
      <c r="H648" s="11"/>
      <c r="I648" s="11"/>
      <c r="J648" s="15"/>
      <c r="K648" s="15"/>
      <c r="L648" s="11"/>
      <c r="M648" s="11"/>
      <c r="N648" s="17" t="str">
        <f aca="false">IF(OR(J648="",K648="",J648=0),"",(J648-K648)/J648)</f>
        <v/>
      </c>
      <c r="O648" s="11"/>
    </row>
    <row r="649" customFormat="false" ht="15" hidden="false" customHeight="false" outlineLevel="0" collapsed="false">
      <c r="A649" s="11"/>
      <c r="B649" s="11"/>
      <c r="C649" s="11"/>
      <c r="D649" s="11"/>
      <c r="E649" s="11"/>
      <c r="F649" s="11"/>
      <c r="G649" s="11"/>
      <c r="H649" s="11"/>
      <c r="I649" s="11"/>
      <c r="J649" s="15"/>
      <c r="K649" s="15"/>
      <c r="L649" s="11"/>
      <c r="M649" s="11"/>
      <c r="N649" s="17" t="str">
        <f aca="false">IF(OR(J649="",K649="",J649=0),"",(J649-K649)/J649)</f>
        <v/>
      </c>
      <c r="O649" s="11"/>
    </row>
    <row r="650" customFormat="false" ht="15" hidden="false" customHeight="false" outlineLevel="0" collapsed="false">
      <c r="A650" s="11"/>
      <c r="B650" s="11"/>
      <c r="C650" s="11"/>
      <c r="D650" s="11"/>
      <c r="E650" s="11"/>
      <c r="F650" s="11"/>
      <c r="G650" s="11"/>
      <c r="H650" s="11"/>
      <c r="I650" s="11"/>
      <c r="J650" s="15"/>
      <c r="K650" s="15"/>
      <c r="L650" s="11"/>
      <c r="M650" s="11"/>
      <c r="N650" s="17" t="str">
        <f aca="false">IF(OR(J650="",K650="",J650=0),"",(J650-K650)/J650)</f>
        <v/>
      </c>
      <c r="O650" s="11"/>
    </row>
    <row r="651" customFormat="false" ht="15" hidden="false" customHeight="false" outlineLevel="0" collapsed="false">
      <c r="A651" s="11"/>
      <c r="B651" s="11"/>
      <c r="C651" s="11"/>
      <c r="D651" s="11"/>
      <c r="E651" s="11"/>
      <c r="F651" s="11"/>
      <c r="G651" s="11"/>
      <c r="H651" s="11"/>
      <c r="I651" s="11"/>
      <c r="J651" s="15"/>
      <c r="K651" s="15"/>
      <c r="L651" s="11"/>
      <c r="M651" s="11"/>
      <c r="N651" s="17" t="str">
        <f aca="false">IF(OR(J651="",K651="",J651=0),"",(J651-K651)/J651)</f>
        <v/>
      </c>
      <c r="O651" s="11"/>
    </row>
    <row r="652" customFormat="false" ht="15" hidden="false" customHeight="false" outlineLevel="0" collapsed="false">
      <c r="A652" s="11"/>
      <c r="B652" s="11"/>
      <c r="C652" s="11"/>
      <c r="D652" s="11"/>
      <c r="E652" s="11"/>
      <c r="F652" s="11"/>
      <c r="G652" s="11"/>
      <c r="H652" s="11"/>
      <c r="I652" s="11"/>
      <c r="J652" s="15"/>
      <c r="K652" s="15"/>
      <c r="L652" s="11"/>
      <c r="M652" s="11"/>
      <c r="N652" s="17" t="str">
        <f aca="false">IF(OR(J652="",K652="",J652=0),"",(J652-K652)/J652)</f>
        <v/>
      </c>
      <c r="O652" s="11"/>
    </row>
    <row r="653" customFormat="false" ht="15" hidden="false" customHeight="false" outlineLevel="0" collapsed="false">
      <c r="A653" s="11"/>
      <c r="B653" s="11"/>
      <c r="C653" s="11"/>
      <c r="D653" s="11"/>
      <c r="E653" s="11"/>
      <c r="F653" s="11"/>
      <c r="G653" s="11"/>
      <c r="H653" s="11"/>
      <c r="I653" s="11"/>
      <c r="J653" s="15"/>
      <c r="K653" s="15"/>
      <c r="L653" s="11"/>
      <c r="M653" s="11"/>
      <c r="N653" s="17" t="str">
        <f aca="false">IF(OR(J653="",K653="",J653=0),"",(J653-K653)/J653)</f>
        <v/>
      </c>
      <c r="O653" s="11"/>
    </row>
    <row r="654" customFormat="false" ht="15" hidden="false" customHeight="false" outlineLevel="0" collapsed="false">
      <c r="A654" s="11"/>
      <c r="B654" s="11"/>
      <c r="C654" s="11"/>
      <c r="D654" s="11"/>
      <c r="E654" s="11"/>
      <c r="F654" s="11"/>
      <c r="G654" s="11"/>
      <c r="H654" s="11"/>
      <c r="I654" s="11"/>
      <c r="J654" s="15"/>
      <c r="K654" s="15"/>
      <c r="L654" s="11"/>
      <c r="M654" s="11"/>
      <c r="N654" s="17" t="str">
        <f aca="false">IF(OR(J654="",K654="",J654=0),"",(J654-K654)/J654)</f>
        <v/>
      </c>
      <c r="O654" s="11"/>
    </row>
    <row r="655" customFormat="false" ht="15" hidden="false" customHeight="false" outlineLevel="0" collapsed="false">
      <c r="A655" s="11"/>
      <c r="B655" s="11"/>
      <c r="C655" s="11"/>
      <c r="D655" s="11"/>
      <c r="E655" s="11"/>
      <c r="F655" s="11"/>
      <c r="G655" s="11"/>
      <c r="H655" s="11"/>
      <c r="I655" s="11"/>
      <c r="J655" s="15"/>
      <c r="K655" s="15"/>
      <c r="L655" s="11"/>
      <c r="M655" s="11"/>
      <c r="N655" s="17" t="str">
        <f aca="false">IF(OR(J655="",K655="",J655=0),"",(J655-K655)/J655)</f>
        <v/>
      </c>
      <c r="O655" s="11"/>
    </row>
    <row r="656" customFormat="false" ht="15" hidden="false" customHeight="false" outlineLevel="0" collapsed="false">
      <c r="A656" s="11"/>
      <c r="B656" s="11"/>
      <c r="C656" s="11"/>
      <c r="D656" s="11"/>
      <c r="E656" s="11"/>
      <c r="F656" s="11"/>
      <c r="G656" s="11"/>
      <c r="H656" s="11"/>
      <c r="I656" s="11"/>
      <c r="J656" s="15"/>
      <c r="K656" s="15"/>
      <c r="L656" s="11"/>
      <c r="M656" s="11"/>
      <c r="N656" s="17" t="str">
        <f aca="false">IF(OR(J656="",K656="",J656=0),"",(J656-K656)/J656)</f>
        <v/>
      </c>
      <c r="O656" s="11"/>
    </row>
    <row r="657" customFormat="false" ht="15" hidden="false" customHeight="false" outlineLevel="0" collapsed="false">
      <c r="A657" s="11"/>
      <c r="B657" s="11"/>
      <c r="C657" s="11"/>
      <c r="D657" s="11"/>
      <c r="E657" s="11"/>
      <c r="F657" s="11"/>
      <c r="G657" s="11"/>
      <c r="H657" s="11"/>
      <c r="I657" s="11"/>
      <c r="J657" s="15"/>
      <c r="K657" s="15"/>
      <c r="L657" s="11"/>
      <c r="M657" s="11"/>
      <c r="N657" s="17" t="str">
        <f aca="false">IF(OR(J657="",K657="",J657=0),"",(J657-K657)/J657)</f>
        <v/>
      </c>
      <c r="O657" s="11"/>
    </row>
    <row r="658" customFormat="false" ht="15" hidden="false" customHeight="false" outlineLevel="0" collapsed="false">
      <c r="A658" s="11"/>
      <c r="B658" s="11"/>
      <c r="C658" s="11"/>
      <c r="D658" s="11"/>
      <c r="E658" s="11"/>
      <c r="F658" s="11"/>
      <c r="G658" s="11"/>
      <c r="H658" s="11"/>
      <c r="I658" s="11"/>
      <c r="J658" s="15"/>
      <c r="K658" s="15"/>
      <c r="L658" s="11"/>
      <c r="M658" s="11"/>
      <c r="N658" s="17" t="str">
        <f aca="false">IF(OR(J658="",K658="",J658=0),"",(J658-K658)/J658)</f>
        <v/>
      </c>
      <c r="O658" s="11"/>
    </row>
    <row r="659" customFormat="false" ht="15" hidden="false" customHeight="false" outlineLevel="0" collapsed="false">
      <c r="A659" s="11"/>
      <c r="B659" s="11"/>
      <c r="C659" s="11"/>
      <c r="D659" s="11"/>
      <c r="E659" s="11"/>
      <c r="F659" s="11"/>
      <c r="G659" s="11"/>
      <c r="H659" s="11"/>
      <c r="I659" s="11"/>
      <c r="J659" s="15"/>
      <c r="K659" s="15"/>
      <c r="L659" s="11"/>
      <c r="M659" s="11"/>
      <c r="N659" s="17" t="str">
        <f aca="false">IF(OR(J659="",K659="",J659=0),"",(J659-K659)/J659)</f>
        <v/>
      </c>
      <c r="O659" s="11"/>
    </row>
    <row r="660" customFormat="false" ht="15" hidden="false" customHeight="false" outlineLevel="0" collapsed="false">
      <c r="A660" s="11"/>
      <c r="B660" s="11"/>
      <c r="C660" s="11"/>
      <c r="D660" s="11"/>
      <c r="E660" s="11"/>
      <c r="F660" s="11"/>
      <c r="G660" s="11"/>
      <c r="H660" s="11"/>
      <c r="I660" s="11"/>
      <c r="J660" s="15"/>
      <c r="K660" s="15"/>
      <c r="L660" s="11"/>
      <c r="M660" s="11"/>
      <c r="N660" s="17" t="str">
        <f aca="false">IF(OR(J660="",K660="",J660=0),"",(J660-K660)/J660)</f>
        <v/>
      </c>
      <c r="O660" s="11"/>
    </row>
    <row r="661" customFormat="false" ht="15" hidden="false" customHeight="false" outlineLevel="0" collapsed="false">
      <c r="A661" s="11"/>
      <c r="B661" s="11"/>
      <c r="C661" s="11"/>
      <c r="D661" s="11"/>
      <c r="E661" s="11"/>
      <c r="F661" s="11"/>
      <c r="G661" s="11"/>
      <c r="H661" s="11"/>
      <c r="I661" s="11"/>
      <c r="J661" s="15"/>
      <c r="K661" s="15"/>
      <c r="L661" s="11"/>
      <c r="M661" s="11"/>
      <c r="N661" s="17" t="str">
        <f aca="false">IF(OR(J661="",K661="",J661=0),"",(J661-K661)/J661)</f>
        <v/>
      </c>
      <c r="O661" s="11"/>
    </row>
    <row r="662" customFormat="false" ht="15" hidden="false" customHeight="false" outlineLevel="0" collapsed="false">
      <c r="A662" s="11"/>
      <c r="B662" s="11"/>
      <c r="C662" s="11"/>
      <c r="D662" s="11"/>
      <c r="E662" s="11"/>
      <c r="F662" s="11"/>
      <c r="G662" s="11"/>
      <c r="H662" s="11"/>
      <c r="I662" s="11"/>
      <c r="J662" s="15"/>
      <c r="K662" s="15"/>
      <c r="L662" s="11"/>
      <c r="M662" s="11"/>
      <c r="N662" s="17" t="str">
        <f aca="false">IF(OR(J662="",K662="",J662=0),"",(J662-K662)/J662)</f>
        <v/>
      </c>
      <c r="O662" s="11"/>
    </row>
    <row r="663" customFormat="false" ht="15" hidden="false" customHeight="false" outlineLevel="0" collapsed="false">
      <c r="A663" s="11"/>
      <c r="B663" s="11"/>
      <c r="C663" s="11"/>
      <c r="D663" s="11"/>
      <c r="E663" s="11"/>
      <c r="F663" s="11"/>
      <c r="G663" s="11"/>
      <c r="H663" s="11"/>
      <c r="I663" s="11"/>
      <c r="J663" s="15"/>
      <c r="K663" s="15"/>
      <c r="L663" s="11"/>
      <c r="M663" s="11"/>
      <c r="N663" s="17" t="str">
        <f aca="false">IF(OR(J663="",K663="",J663=0),"",(J663-K663)/J663)</f>
        <v/>
      </c>
      <c r="O663" s="11"/>
    </row>
    <row r="664" customFormat="false" ht="15" hidden="false" customHeight="false" outlineLevel="0" collapsed="false">
      <c r="A664" s="11"/>
      <c r="B664" s="11"/>
      <c r="C664" s="11"/>
      <c r="D664" s="11"/>
      <c r="E664" s="11"/>
      <c r="F664" s="11"/>
      <c r="G664" s="11"/>
      <c r="H664" s="11"/>
      <c r="I664" s="11"/>
      <c r="J664" s="15"/>
      <c r="K664" s="15"/>
      <c r="L664" s="11"/>
      <c r="M664" s="11"/>
      <c r="N664" s="17" t="str">
        <f aca="false">IF(OR(J664="",K664="",J664=0),"",(J664-K664)/J664)</f>
        <v/>
      </c>
      <c r="O664" s="11"/>
    </row>
    <row r="665" customFormat="false" ht="15" hidden="false" customHeight="false" outlineLevel="0" collapsed="false">
      <c r="A665" s="11"/>
      <c r="B665" s="11"/>
      <c r="C665" s="11"/>
      <c r="D665" s="11"/>
      <c r="E665" s="11"/>
      <c r="F665" s="11"/>
      <c r="G665" s="11"/>
      <c r="H665" s="11"/>
      <c r="I665" s="11"/>
      <c r="J665" s="15"/>
      <c r="K665" s="15"/>
      <c r="L665" s="11"/>
      <c r="M665" s="11"/>
      <c r="N665" s="17" t="str">
        <f aca="false">IF(OR(J665="",K665="",J665=0),"",(J665-K665)/J665)</f>
        <v/>
      </c>
      <c r="O665" s="11"/>
    </row>
    <row r="666" customFormat="false" ht="15" hidden="false" customHeight="false" outlineLevel="0" collapsed="false">
      <c r="A666" s="11"/>
      <c r="B666" s="11"/>
      <c r="C666" s="11"/>
      <c r="D666" s="11"/>
      <c r="E666" s="11"/>
      <c r="F666" s="11"/>
      <c r="G666" s="11"/>
      <c r="H666" s="11"/>
      <c r="I666" s="11"/>
      <c r="J666" s="15"/>
      <c r="K666" s="15"/>
      <c r="L666" s="11"/>
      <c r="M666" s="11"/>
      <c r="N666" s="17" t="str">
        <f aca="false">IF(OR(J666="",K666="",J666=0),"",(J666-K666)/J666)</f>
        <v/>
      </c>
      <c r="O666" s="11"/>
    </row>
    <row r="667" customFormat="false" ht="15" hidden="false" customHeight="false" outlineLevel="0" collapsed="false">
      <c r="A667" s="11"/>
      <c r="B667" s="11"/>
      <c r="C667" s="11"/>
      <c r="D667" s="11"/>
      <c r="E667" s="11"/>
      <c r="F667" s="11"/>
      <c r="G667" s="11"/>
      <c r="H667" s="11"/>
      <c r="I667" s="11"/>
      <c r="J667" s="15"/>
      <c r="K667" s="15"/>
      <c r="L667" s="11"/>
      <c r="M667" s="11"/>
      <c r="N667" s="17" t="str">
        <f aca="false">IF(OR(J667="",K667="",J667=0),"",(J667-K667)/J667)</f>
        <v/>
      </c>
      <c r="O667" s="11"/>
    </row>
    <row r="668" customFormat="false" ht="15" hidden="false" customHeight="false" outlineLevel="0" collapsed="false">
      <c r="A668" s="11"/>
      <c r="B668" s="11"/>
      <c r="C668" s="11"/>
      <c r="D668" s="11"/>
      <c r="E668" s="11"/>
      <c r="F668" s="11"/>
      <c r="G668" s="11"/>
      <c r="H668" s="11"/>
      <c r="I668" s="11"/>
      <c r="J668" s="15"/>
      <c r="K668" s="15"/>
      <c r="L668" s="11"/>
      <c r="M668" s="11"/>
      <c r="N668" s="17" t="str">
        <f aca="false">IF(OR(J668="",K668="",J668=0),"",(J668-K668)/J668)</f>
        <v/>
      </c>
      <c r="O668" s="11"/>
    </row>
    <row r="669" customFormat="false" ht="15" hidden="false" customHeight="false" outlineLevel="0" collapsed="false">
      <c r="A669" s="11"/>
      <c r="B669" s="11"/>
      <c r="C669" s="11"/>
      <c r="D669" s="11"/>
      <c r="E669" s="11"/>
      <c r="F669" s="11"/>
      <c r="G669" s="11"/>
      <c r="H669" s="11"/>
      <c r="I669" s="11"/>
      <c r="J669" s="15"/>
      <c r="K669" s="15"/>
      <c r="L669" s="11"/>
      <c r="M669" s="11"/>
      <c r="N669" s="17" t="str">
        <f aca="false">IF(OR(J669="",K669="",J669=0),"",(J669-K669)/J669)</f>
        <v/>
      </c>
      <c r="O669" s="11"/>
    </row>
    <row r="670" customFormat="false" ht="15" hidden="false" customHeight="false" outlineLevel="0" collapsed="false">
      <c r="A670" s="11"/>
      <c r="B670" s="11"/>
      <c r="C670" s="11"/>
      <c r="D670" s="11"/>
      <c r="E670" s="11"/>
      <c r="F670" s="11"/>
      <c r="G670" s="11"/>
      <c r="H670" s="11"/>
      <c r="I670" s="11"/>
      <c r="J670" s="15"/>
      <c r="K670" s="15"/>
      <c r="L670" s="11"/>
      <c r="M670" s="11"/>
      <c r="N670" s="17" t="str">
        <f aca="false">IF(OR(J670="",K670="",J670=0),"",(J670-K670)/J670)</f>
        <v/>
      </c>
      <c r="O670" s="11"/>
    </row>
    <row r="671" customFormat="false" ht="15" hidden="false" customHeight="false" outlineLevel="0" collapsed="false">
      <c r="A671" s="11"/>
      <c r="B671" s="11"/>
      <c r="C671" s="11"/>
      <c r="D671" s="11"/>
      <c r="E671" s="11"/>
      <c r="F671" s="11"/>
      <c r="G671" s="11"/>
      <c r="H671" s="11"/>
      <c r="I671" s="11"/>
      <c r="J671" s="15"/>
      <c r="K671" s="15"/>
      <c r="L671" s="11"/>
      <c r="M671" s="11"/>
      <c r="N671" s="17" t="str">
        <f aca="false">IF(OR(J671="",K671="",J671=0),"",(J671-K671)/J671)</f>
        <v/>
      </c>
      <c r="O671" s="11"/>
    </row>
    <row r="672" customFormat="false" ht="15" hidden="false" customHeight="false" outlineLevel="0" collapsed="false">
      <c r="A672" s="11"/>
      <c r="B672" s="11"/>
      <c r="C672" s="11"/>
      <c r="D672" s="11"/>
      <c r="E672" s="11"/>
      <c r="F672" s="11"/>
      <c r="G672" s="11"/>
      <c r="H672" s="11"/>
      <c r="I672" s="11"/>
      <c r="J672" s="15"/>
      <c r="K672" s="15"/>
      <c r="L672" s="11"/>
      <c r="M672" s="11"/>
      <c r="N672" s="17" t="str">
        <f aca="false">IF(OR(J672="",K672="",J672=0),"",(J672-K672)/J672)</f>
        <v/>
      </c>
      <c r="O672" s="11"/>
    </row>
    <row r="673" customFormat="false" ht="15" hidden="false" customHeight="false" outlineLevel="0" collapsed="false">
      <c r="A673" s="11"/>
      <c r="B673" s="11"/>
      <c r="C673" s="11"/>
      <c r="D673" s="11"/>
      <c r="E673" s="11"/>
      <c r="F673" s="11"/>
      <c r="G673" s="11"/>
      <c r="H673" s="11"/>
      <c r="I673" s="11"/>
      <c r="J673" s="15"/>
      <c r="K673" s="15"/>
      <c r="L673" s="11"/>
      <c r="M673" s="11"/>
      <c r="N673" s="17" t="str">
        <f aca="false">IF(OR(J673="",K673="",J673=0),"",(J673-K673)/J673)</f>
        <v/>
      </c>
      <c r="O673" s="11"/>
    </row>
    <row r="674" customFormat="false" ht="15" hidden="false" customHeight="false" outlineLevel="0" collapsed="false">
      <c r="A674" s="11"/>
      <c r="B674" s="11"/>
      <c r="C674" s="11"/>
      <c r="D674" s="11"/>
      <c r="E674" s="11"/>
      <c r="F674" s="11"/>
      <c r="G674" s="11"/>
      <c r="H674" s="11"/>
      <c r="I674" s="11"/>
      <c r="J674" s="15"/>
      <c r="K674" s="15"/>
      <c r="L674" s="11"/>
      <c r="M674" s="11"/>
      <c r="N674" s="17" t="str">
        <f aca="false">IF(OR(J674="",K674="",J674=0),"",(J674-K674)/J674)</f>
        <v/>
      </c>
      <c r="O674" s="11"/>
    </row>
    <row r="675" customFormat="false" ht="15" hidden="false" customHeight="false" outlineLevel="0" collapsed="false">
      <c r="A675" s="11"/>
      <c r="B675" s="11"/>
      <c r="C675" s="11"/>
      <c r="D675" s="11"/>
      <c r="E675" s="11"/>
      <c r="F675" s="11"/>
      <c r="G675" s="11"/>
      <c r="H675" s="11"/>
      <c r="I675" s="11"/>
      <c r="J675" s="15"/>
      <c r="K675" s="15"/>
      <c r="L675" s="11"/>
      <c r="M675" s="11"/>
      <c r="N675" s="17" t="str">
        <f aca="false">IF(OR(J675="",K675="",J675=0),"",(J675-K675)/J675)</f>
        <v/>
      </c>
      <c r="O675" s="11"/>
    </row>
    <row r="676" customFormat="false" ht="15" hidden="false" customHeight="false" outlineLevel="0" collapsed="false">
      <c r="A676" s="11"/>
      <c r="B676" s="11"/>
      <c r="C676" s="11"/>
      <c r="D676" s="11"/>
      <c r="E676" s="11"/>
      <c r="F676" s="11"/>
      <c r="G676" s="11"/>
      <c r="H676" s="11"/>
      <c r="I676" s="11"/>
      <c r="J676" s="15"/>
      <c r="K676" s="15"/>
      <c r="L676" s="11"/>
      <c r="M676" s="11"/>
      <c r="N676" s="17" t="str">
        <f aca="false">IF(OR(J676="",K676="",J676=0),"",(J676-K676)/J676)</f>
        <v/>
      </c>
      <c r="O676" s="11"/>
    </row>
    <row r="677" customFormat="false" ht="15" hidden="false" customHeight="false" outlineLevel="0" collapsed="false">
      <c r="A677" s="11"/>
      <c r="B677" s="11"/>
      <c r="C677" s="11"/>
      <c r="D677" s="11"/>
      <c r="E677" s="11"/>
      <c r="F677" s="11"/>
      <c r="G677" s="11"/>
      <c r="H677" s="11"/>
      <c r="I677" s="11"/>
      <c r="J677" s="15"/>
      <c r="K677" s="15"/>
      <c r="L677" s="11"/>
      <c r="M677" s="11"/>
      <c r="N677" s="17" t="str">
        <f aca="false">IF(OR(J677="",K677="",J677=0),"",(J677-K677)/J677)</f>
        <v/>
      </c>
      <c r="O677" s="11"/>
    </row>
    <row r="678" customFormat="false" ht="15" hidden="false" customHeight="false" outlineLevel="0" collapsed="false">
      <c r="A678" s="11"/>
      <c r="B678" s="11"/>
      <c r="C678" s="11"/>
      <c r="D678" s="11"/>
      <c r="E678" s="11"/>
      <c r="F678" s="11"/>
      <c r="G678" s="11"/>
      <c r="H678" s="11"/>
      <c r="I678" s="11"/>
      <c r="J678" s="15"/>
      <c r="K678" s="15"/>
      <c r="L678" s="11"/>
      <c r="M678" s="11"/>
      <c r="N678" s="17" t="str">
        <f aca="false">IF(OR(J678="",K678="",J678=0),"",(J678-K678)/J678)</f>
        <v/>
      </c>
      <c r="O678" s="11"/>
    </row>
    <row r="679" customFormat="false" ht="15" hidden="false" customHeight="false" outlineLevel="0" collapsed="false">
      <c r="A679" s="11"/>
      <c r="B679" s="11"/>
      <c r="C679" s="11"/>
      <c r="D679" s="11"/>
      <c r="E679" s="11"/>
      <c r="F679" s="11"/>
      <c r="G679" s="11"/>
      <c r="H679" s="11"/>
      <c r="I679" s="11"/>
      <c r="J679" s="15"/>
      <c r="K679" s="15"/>
      <c r="L679" s="11"/>
      <c r="M679" s="11"/>
      <c r="N679" s="17" t="str">
        <f aca="false">IF(OR(J679="",K679="",J679=0),"",(J679-K679)/J679)</f>
        <v/>
      </c>
      <c r="O679" s="11"/>
    </row>
    <row r="680" customFormat="false" ht="15" hidden="false" customHeight="false" outlineLevel="0" collapsed="false">
      <c r="A680" s="11"/>
      <c r="B680" s="11"/>
      <c r="C680" s="11"/>
      <c r="D680" s="11"/>
      <c r="E680" s="11"/>
      <c r="F680" s="11"/>
      <c r="G680" s="11"/>
      <c r="H680" s="11"/>
      <c r="I680" s="11"/>
      <c r="J680" s="15"/>
      <c r="K680" s="15"/>
      <c r="L680" s="11"/>
      <c r="M680" s="11"/>
      <c r="N680" s="17" t="str">
        <f aca="false">IF(OR(J680="",K680="",J680=0),"",(J680-K680)/J680)</f>
        <v/>
      </c>
      <c r="O680" s="11"/>
    </row>
    <row r="681" customFormat="false" ht="15" hidden="false" customHeight="false" outlineLevel="0" collapsed="false">
      <c r="A681" s="11"/>
      <c r="B681" s="11"/>
      <c r="C681" s="11"/>
      <c r="D681" s="11"/>
      <c r="E681" s="11"/>
      <c r="F681" s="11"/>
      <c r="G681" s="11"/>
      <c r="H681" s="11"/>
      <c r="I681" s="11"/>
      <c r="J681" s="15"/>
      <c r="K681" s="15"/>
      <c r="L681" s="11"/>
      <c r="M681" s="11"/>
      <c r="N681" s="17" t="str">
        <f aca="false">IF(OR(J681="",K681="",J681=0),"",(J681-K681)/J681)</f>
        <v/>
      </c>
      <c r="O681" s="11"/>
    </row>
    <row r="682" customFormat="false" ht="15" hidden="false" customHeight="false" outlineLevel="0" collapsed="false">
      <c r="A682" s="11"/>
      <c r="B682" s="11"/>
      <c r="C682" s="11"/>
      <c r="D682" s="11"/>
      <c r="E682" s="11"/>
      <c r="F682" s="11"/>
      <c r="G682" s="11"/>
      <c r="H682" s="11"/>
      <c r="I682" s="11"/>
      <c r="J682" s="15"/>
      <c r="K682" s="15"/>
      <c r="L682" s="11"/>
      <c r="M682" s="11"/>
      <c r="N682" s="17" t="str">
        <f aca="false">IF(OR(J682="",K682="",J682=0),"",(J682-K682)/J682)</f>
        <v/>
      </c>
      <c r="O682" s="11"/>
    </row>
    <row r="683" customFormat="false" ht="15" hidden="false" customHeight="false" outlineLevel="0" collapsed="false">
      <c r="A683" s="11"/>
      <c r="B683" s="11"/>
      <c r="C683" s="11"/>
      <c r="D683" s="11"/>
      <c r="E683" s="11"/>
      <c r="F683" s="11"/>
      <c r="G683" s="11"/>
      <c r="H683" s="11"/>
      <c r="I683" s="11"/>
      <c r="J683" s="15"/>
      <c r="K683" s="15"/>
      <c r="L683" s="11"/>
      <c r="M683" s="11"/>
      <c r="N683" s="17" t="str">
        <f aca="false">IF(OR(J683="",K683="",J683=0),"",(J683-K683)/J683)</f>
        <v/>
      </c>
      <c r="O683" s="11"/>
    </row>
    <row r="684" customFormat="false" ht="15" hidden="false" customHeight="false" outlineLevel="0" collapsed="false">
      <c r="A684" s="11"/>
      <c r="B684" s="11"/>
      <c r="C684" s="11"/>
      <c r="D684" s="11"/>
      <c r="E684" s="11"/>
      <c r="F684" s="11"/>
      <c r="G684" s="11"/>
      <c r="H684" s="11"/>
      <c r="I684" s="11"/>
      <c r="J684" s="15"/>
      <c r="K684" s="15"/>
      <c r="L684" s="11"/>
      <c r="M684" s="11"/>
      <c r="N684" s="17" t="str">
        <f aca="false">IF(OR(J684="",K684="",J684=0),"",(J684-K684)/J684)</f>
        <v/>
      </c>
      <c r="O684" s="11"/>
    </row>
    <row r="685" customFormat="false" ht="15" hidden="false" customHeight="false" outlineLevel="0" collapsed="false">
      <c r="A685" s="11"/>
      <c r="B685" s="11"/>
      <c r="C685" s="11"/>
      <c r="D685" s="11"/>
      <c r="E685" s="11"/>
      <c r="F685" s="11"/>
      <c r="G685" s="11"/>
      <c r="H685" s="11"/>
      <c r="I685" s="11"/>
      <c r="J685" s="15"/>
      <c r="K685" s="15"/>
      <c r="L685" s="11"/>
      <c r="M685" s="11"/>
      <c r="N685" s="17" t="str">
        <f aca="false">IF(OR(J685="",K685="",J685=0),"",(J685-K685)/J685)</f>
        <v/>
      </c>
      <c r="O685" s="11"/>
    </row>
    <row r="686" customFormat="false" ht="15" hidden="false" customHeight="false" outlineLevel="0" collapsed="false">
      <c r="A686" s="11"/>
      <c r="B686" s="11"/>
      <c r="C686" s="11"/>
      <c r="D686" s="11"/>
      <c r="E686" s="11"/>
      <c r="F686" s="11"/>
      <c r="G686" s="11"/>
      <c r="H686" s="11"/>
      <c r="I686" s="11"/>
      <c r="J686" s="15"/>
      <c r="K686" s="15"/>
      <c r="L686" s="11"/>
      <c r="M686" s="11"/>
      <c r="N686" s="17" t="str">
        <f aca="false">IF(OR(J686="",K686="",J686=0),"",(J686-K686)/J686)</f>
        <v/>
      </c>
      <c r="O686" s="11"/>
    </row>
    <row r="687" customFormat="false" ht="15" hidden="false" customHeight="false" outlineLevel="0" collapsed="false">
      <c r="A687" s="11"/>
      <c r="B687" s="11"/>
      <c r="C687" s="11"/>
      <c r="D687" s="11"/>
      <c r="E687" s="11"/>
      <c r="F687" s="11"/>
      <c r="G687" s="11"/>
      <c r="H687" s="11"/>
      <c r="I687" s="11"/>
      <c r="J687" s="15"/>
      <c r="K687" s="15"/>
      <c r="L687" s="11"/>
      <c r="M687" s="11"/>
      <c r="N687" s="17" t="str">
        <f aca="false">IF(OR(J687="",K687="",J687=0),"",(J687-K687)/J687)</f>
        <v/>
      </c>
      <c r="O687" s="11"/>
    </row>
    <row r="688" customFormat="false" ht="15" hidden="false" customHeight="false" outlineLevel="0" collapsed="false">
      <c r="A688" s="11"/>
      <c r="B688" s="11"/>
      <c r="C688" s="11"/>
      <c r="D688" s="11"/>
      <c r="E688" s="11"/>
      <c r="F688" s="11"/>
      <c r="G688" s="11"/>
      <c r="H688" s="11"/>
      <c r="I688" s="11"/>
      <c r="J688" s="15"/>
      <c r="K688" s="15"/>
      <c r="L688" s="11"/>
      <c r="M688" s="11"/>
      <c r="N688" s="17" t="str">
        <f aca="false">IF(OR(J688="",K688="",J688=0),"",(J688-K688)/J688)</f>
        <v/>
      </c>
      <c r="O688" s="11"/>
    </row>
    <row r="689" customFormat="false" ht="15" hidden="false" customHeight="false" outlineLevel="0" collapsed="false">
      <c r="A689" s="11"/>
      <c r="B689" s="11"/>
      <c r="C689" s="11"/>
      <c r="D689" s="11"/>
      <c r="E689" s="11"/>
      <c r="F689" s="11"/>
      <c r="G689" s="11"/>
      <c r="H689" s="11"/>
      <c r="I689" s="11"/>
      <c r="J689" s="15"/>
      <c r="K689" s="15"/>
      <c r="L689" s="11"/>
      <c r="M689" s="11"/>
      <c r="N689" s="17" t="str">
        <f aca="false">IF(OR(J689="",K689="",J689=0),"",(J689-K689)/J689)</f>
        <v/>
      </c>
      <c r="O689" s="11"/>
    </row>
    <row r="690" customFormat="false" ht="15" hidden="false" customHeight="false" outlineLevel="0" collapsed="false">
      <c r="A690" s="11"/>
      <c r="B690" s="11"/>
      <c r="C690" s="11"/>
      <c r="D690" s="11"/>
      <c r="E690" s="11"/>
      <c r="F690" s="11"/>
      <c r="G690" s="11"/>
      <c r="H690" s="11"/>
      <c r="I690" s="11"/>
      <c r="J690" s="15"/>
      <c r="K690" s="15"/>
      <c r="L690" s="11"/>
      <c r="M690" s="11"/>
      <c r="N690" s="17" t="str">
        <f aca="false">IF(OR(J690="",K690="",J690=0),"",(J690-K690)/J690)</f>
        <v/>
      </c>
      <c r="O690" s="11"/>
    </row>
    <row r="691" customFormat="false" ht="15" hidden="false" customHeight="false" outlineLevel="0" collapsed="false">
      <c r="A691" s="11"/>
      <c r="B691" s="11"/>
      <c r="C691" s="11"/>
      <c r="D691" s="11"/>
      <c r="E691" s="11"/>
      <c r="F691" s="11"/>
      <c r="G691" s="11"/>
      <c r="H691" s="11"/>
      <c r="I691" s="11"/>
      <c r="J691" s="15"/>
      <c r="K691" s="15"/>
      <c r="L691" s="11"/>
      <c r="M691" s="11"/>
      <c r="N691" s="17" t="str">
        <f aca="false">IF(OR(J691="",K691="",J691=0),"",(J691-K691)/J691)</f>
        <v/>
      </c>
      <c r="O691" s="11"/>
    </row>
    <row r="692" customFormat="false" ht="15" hidden="false" customHeight="false" outlineLevel="0" collapsed="false">
      <c r="A692" s="11"/>
      <c r="B692" s="11"/>
      <c r="C692" s="11"/>
      <c r="D692" s="11"/>
      <c r="E692" s="11"/>
      <c r="F692" s="11"/>
      <c r="G692" s="11"/>
      <c r="H692" s="11"/>
      <c r="I692" s="11"/>
      <c r="J692" s="15"/>
      <c r="K692" s="15"/>
      <c r="L692" s="11"/>
      <c r="M692" s="11"/>
      <c r="N692" s="17" t="str">
        <f aca="false">IF(OR(J692="",K692="",J692=0),"",(J692-K692)/J692)</f>
        <v/>
      </c>
      <c r="O692" s="11"/>
    </row>
    <row r="693" customFormat="false" ht="15" hidden="false" customHeight="false" outlineLevel="0" collapsed="false">
      <c r="A693" s="11"/>
      <c r="B693" s="11"/>
      <c r="C693" s="11"/>
      <c r="D693" s="11"/>
      <c r="E693" s="11"/>
      <c r="F693" s="11"/>
      <c r="G693" s="11"/>
      <c r="H693" s="11"/>
      <c r="I693" s="11"/>
      <c r="J693" s="15"/>
      <c r="K693" s="15"/>
      <c r="L693" s="11"/>
      <c r="M693" s="11"/>
      <c r="N693" s="17" t="str">
        <f aca="false">IF(OR(J693="",K693="",J693=0),"",(J693-K693)/J693)</f>
        <v/>
      </c>
      <c r="O693" s="11"/>
    </row>
    <row r="694" customFormat="false" ht="15" hidden="false" customHeight="false" outlineLevel="0" collapsed="false">
      <c r="A694" s="11"/>
      <c r="B694" s="11"/>
      <c r="C694" s="11"/>
      <c r="D694" s="11"/>
      <c r="E694" s="11"/>
      <c r="F694" s="11"/>
      <c r="G694" s="11"/>
      <c r="H694" s="11"/>
      <c r="I694" s="11"/>
      <c r="J694" s="15"/>
      <c r="K694" s="15"/>
      <c r="L694" s="11"/>
      <c r="M694" s="11"/>
      <c r="N694" s="17" t="str">
        <f aca="false">IF(OR(J694="",K694="",J694=0),"",(J694-K694)/J694)</f>
        <v/>
      </c>
      <c r="O694" s="11"/>
    </row>
    <row r="695" customFormat="false" ht="15" hidden="false" customHeight="false" outlineLevel="0" collapsed="false">
      <c r="A695" s="11"/>
      <c r="B695" s="11"/>
      <c r="C695" s="11"/>
      <c r="D695" s="11"/>
      <c r="E695" s="11"/>
      <c r="F695" s="11"/>
      <c r="G695" s="11"/>
      <c r="H695" s="11"/>
      <c r="I695" s="11"/>
      <c r="J695" s="15"/>
      <c r="K695" s="15"/>
      <c r="L695" s="11"/>
      <c r="M695" s="11"/>
      <c r="N695" s="17" t="str">
        <f aca="false">IF(OR(J695="",K695="",J695=0),"",(J695-K695)/J695)</f>
        <v/>
      </c>
      <c r="O695" s="11"/>
    </row>
    <row r="696" customFormat="false" ht="15" hidden="false" customHeight="false" outlineLevel="0" collapsed="false">
      <c r="A696" s="11"/>
      <c r="B696" s="11"/>
      <c r="C696" s="11"/>
      <c r="D696" s="11"/>
      <c r="E696" s="11"/>
      <c r="F696" s="11"/>
      <c r="G696" s="11"/>
      <c r="H696" s="11"/>
      <c r="I696" s="11"/>
      <c r="J696" s="15"/>
      <c r="K696" s="15"/>
      <c r="L696" s="11"/>
      <c r="M696" s="11"/>
      <c r="N696" s="17" t="str">
        <f aca="false">IF(OR(J696="",K696="",J696=0),"",(J696-K696)/J696)</f>
        <v/>
      </c>
      <c r="O696" s="11"/>
    </row>
    <row r="697" customFormat="false" ht="15" hidden="false" customHeight="false" outlineLevel="0" collapsed="false">
      <c r="A697" s="11"/>
      <c r="B697" s="11"/>
      <c r="C697" s="11"/>
      <c r="D697" s="11"/>
      <c r="E697" s="11"/>
      <c r="F697" s="11"/>
      <c r="G697" s="11"/>
      <c r="H697" s="11"/>
      <c r="I697" s="11"/>
      <c r="J697" s="15"/>
      <c r="K697" s="15"/>
      <c r="L697" s="11"/>
      <c r="M697" s="11"/>
      <c r="N697" s="17" t="str">
        <f aca="false">IF(OR(J697="",K697="",J697=0),"",(J697-K697)/J697)</f>
        <v/>
      </c>
      <c r="O697" s="11"/>
    </row>
    <row r="698" customFormat="false" ht="15" hidden="false" customHeight="false" outlineLevel="0" collapsed="false">
      <c r="A698" s="11"/>
      <c r="B698" s="11"/>
      <c r="C698" s="11"/>
      <c r="D698" s="11"/>
      <c r="E698" s="11"/>
      <c r="F698" s="11"/>
      <c r="G698" s="11"/>
      <c r="H698" s="11"/>
      <c r="I698" s="11"/>
      <c r="J698" s="15"/>
      <c r="K698" s="15"/>
      <c r="L698" s="11"/>
      <c r="M698" s="11"/>
      <c r="N698" s="17" t="str">
        <f aca="false">IF(OR(J698="",K698="",J698=0),"",(J698-K698)/J698)</f>
        <v/>
      </c>
      <c r="O698" s="11"/>
    </row>
    <row r="699" customFormat="false" ht="15" hidden="false" customHeight="false" outlineLevel="0" collapsed="false">
      <c r="A699" s="11"/>
      <c r="B699" s="11"/>
      <c r="C699" s="11"/>
      <c r="D699" s="11"/>
      <c r="E699" s="11"/>
      <c r="F699" s="11"/>
      <c r="G699" s="11"/>
      <c r="H699" s="11"/>
      <c r="I699" s="11"/>
      <c r="J699" s="15"/>
      <c r="K699" s="15"/>
      <c r="L699" s="11"/>
      <c r="M699" s="11"/>
      <c r="N699" s="17" t="str">
        <f aca="false">IF(OR(J699="",K699="",J699=0),"",(J699-K699)/J699)</f>
        <v/>
      </c>
      <c r="O699" s="11"/>
    </row>
    <row r="700" customFormat="false" ht="15" hidden="false" customHeight="false" outlineLevel="0" collapsed="false">
      <c r="A700" s="11"/>
      <c r="B700" s="11"/>
      <c r="C700" s="11"/>
      <c r="D700" s="11"/>
      <c r="E700" s="11"/>
      <c r="F700" s="11"/>
      <c r="G700" s="11"/>
      <c r="H700" s="11"/>
      <c r="I700" s="11"/>
      <c r="J700" s="15"/>
      <c r="K700" s="15"/>
      <c r="L700" s="11"/>
      <c r="M700" s="11"/>
      <c r="N700" s="17" t="str">
        <f aca="false">IF(OR(J700="",K700="",J700=0),"",(J700-K700)/J700)</f>
        <v/>
      </c>
      <c r="O700" s="11"/>
    </row>
    <row r="701" customFormat="false" ht="15" hidden="false" customHeight="false" outlineLevel="0" collapsed="false">
      <c r="A701" s="11"/>
      <c r="B701" s="11"/>
      <c r="C701" s="11"/>
      <c r="D701" s="11"/>
      <c r="E701" s="11"/>
      <c r="F701" s="11"/>
      <c r="G701" s="11"/>
      <c r="H701" s="11"/>
      <c r="I701" s="11"/>
      <c r="J701" s="15"/>
      <c r="K701" s="15"/>
      <c r="L701" s="11"/>
      <c r="M701" s="11"/>
      <c r="N701" s="17" t="str">
        <f aca="false">IF(OR(J701="",K701="",J701=0),"",(J701-K701)/J701)</f>
        <v/>
      </c>
      <c r="O701" s="11"/>
    </row>
    <row r="702" customFormat="false" ht="15" hidden="false" customHeight="false" outlineLevel="0" collapsed="false">
      <c r="A702" s="11"/>
      <c r="B702" s="11"/>
      <c r="C702" s="11"/>
      <c r="D702" s="11"/>
      <c r="E702" s="11"/>
      <c r="F702" s="11"/>
      <c r="G702" s="11"/>
      <c r="H702" s="11"/>
      <c r="I702" s="11"/>
      <c r="J702" s="15"/>
      <c r="K702" s="15"/>
      <c r="L702" s="11"/>
      <c r="M702" s="11"/>
      <c r="N702" s="17" t="str">
        <f aca="false">IF(OR(J702="",K702="",J702=0),"",(J702-K702)/J702)</f>
        <v/>
      </c>
      <c r="O702" s="11"/>
    </row>
    <row r="703" customFormat="false" ht="15" hidden="false" customHeight="false" outlineLevel="0" collapsed="false">
      <c r="A703" s="11"/>
      <c r="B703" s="11"/>
      <c r="C703" s="11"/>
      <c r="D703" s="11"/>
      <c r="E703" s="11"/>
      <c r="F703" s="11"/>
      <c r="G703" s="11"/>
      <c r="H703" s="11"/>
      <c r="I703" s="11"/>
      <c r="J703" s="15"/>
      <c r="K703" s="15"/>
      <c r="L703" s="11"/>
      <c r="M703" s="11"/>
      <c r="N703" s="17" t="str">
        <f aca="false">IF(OR(J703="",K703="",J703=0),"",(J703-K703)/J703)</f>
        <v/>
      </c>
      <c r="O703" s="11"/>
    </row>
    <row r="704" customFormat="false" ht="15" hidden="false" customHeight="false" outlineLevel="0" collapsed="false">
      <c r="A704" s="11"/>
      <c r="B704" s="11"/>
      <c r="C704" s="11"/>
      <c r="D704" s="11"/>
      <c r="E704" s="11"/>
      <c r="F704" s="11"/>
      <c r="G704" s="11"/>
      <c r="H704" s="11"/>
      <c r="I704" s="11"/>
      <c r="J704" s="15"/>
      <c r="K704" s="15"/>
      <c r="L704" s="11"/>
      <c r="M704" s="11"/>
      <c r="N704" s="17" t="str">
        <f aca="false">IF(OR(J704="",K704="",J704=0),"",(J704-K704)/J704)</f>
        <v/>
      </c>
      <c r="O704" s="11"/>
    </row>
    <row r="705" customFormat="false" ht="15" hidden="false" customHeight="false" outlineLevel="0" collapsed="false">
      <c r="A705" s="11"/>
      <c r="B705" s="11"/>
      <c r="C705" s="11"/>
      <c r="D705" s="11"/>
      <c r="E705" s="11"/>
      <c r="F705" s="11"/>
      <c r="G705" s="11"/>
      <c r="H705" s="11"/>
      <c r="I705" s="11"/>
      <c r="J705" s="15"/>
      <c r="K705" s="15"/>
      <c r="L705" s="11"/>
      <c r="M705" s="11"/>
      <c r="N705" s="17" t="str">
        <f aca="false">IF(OR(J705="",K705="",J705=0),"",(J705-K705)/J705)</f>
        <v/>
      </c>
      <c r="O705" s="11"/>
    </row>
    <row r="706" customFormat="false" ht="15" hidden="false" customHeight="false" outlineLevel="0" collapsed="false">
      <c r="A706" s="11"/>
      <c r="B706" s="11"/>
      <c r="C706" s="11"/>
      <c r="D706" s="11"/>
      <c r="E706" s="11"/>
      <c r="F706" s="11"/>
      <c r="G706" s="11"/>
      <c r="H706" s="11"/>
      <c r="I706" s="11"/>
      <c r="J706" s="15"/>
      <c r="K706" s="15"/>
      <c r="L706" s="11"/>
      <c r="M706" s="11"/>
      <c r="N706" s="17" t="str">
        <f aca="false">IF(OR(J706="",K706="",J706=0),"",(J706-K706)/J706)</f>
        <v/>
      </c>
      <c r="O706" s="11"/>
    </row>
    <row r="707" customFormat="false" ht="15" hidden="false" customHeight="false" outlineLevel="0" collapsed="false">
      <c r="A707" s="11"/>
      <c r="B707" s="11"/>
      <c r="C707" s="11"/>
      <c r="D707" s="11"/>
      <c r="E707" s="11"/>
      <c r="F707" s="11"/>
      <c r="G707" s="11"/>
      <c r="H707" s="11"/>
      <c r="I707" s="11"/>
      <c r="J707" s="15"/>
      <c r="K707" s="15"/>
      <c r="L707" s="11"/>
      <c r="M707" s="11"/>
      <c r="N707" s="17" t="str">
        <f aca="false">IF(OR(J707="",K707="",J707=0),"",(J707-K707)/J707)</f>
        <v/>
      </c>
      <c r="O707" s="11"/>
    </row>
    <row r="708" customFormat="false" ht="15" hidden="false" customHeight="false" outlineLevel="0" collapsed="false">
      <c r="A708" s="11"/>
      <c r="B708" s="11"/>
      <c r="C708" s="11"/>
      <c r="D708" s="11"/>
      <c r="E708" s="11"/>
      <c r="F708" s="11"/>
      <c r="G708" s="11"/>
      <c r="H708" s="11"/>
      <c r="I708" s="11"/>
      <c r="J708" s="15"/>
      <c r="K708" s="15"/>
      <c r="L708" s="11"/>
      <c r="M708" s="11"/>
      <c r="N708" s="17" t="str">
        <f aca="false">IF(OR(J708="",K708="",J708=0),"",(J708-K708)/J708)</f>
        <v/>
      </c>
      <c r="O708" s="11"/>
    </row>
    <row r="709" customFormat="false" ht="15" hidden="false" customHeight="false" outlineLevel="0" collapsed="false">
      <c r="A709" s="11"/>
      <c r="B709" s="11"/>
      <c r="C709" s="11"/>
      <c r="D709" s="11"/>
      <c r="E709" s="11"/>
      <c r="F709" s="11"/>
      <c r="G709" s="11"/>
      <c r="H709" s="11"/>
      <c r="I709" s="11"/>
      <c r="J709" s="15"/>
      <c r="K709" s="15"/>
      <c r="L709" s="11"/>
      <c r="M709" s="11"/>
      <c r="N709" s="17" t="str">
        <f aca="false">IF(OR(J709="",K709="",J709=0),"",(J709-K709)/J709)</f>
        <v/>
      </c>
      <c r="O709" s="11"/>
    </row>
    <row r="710" customFormat="false" ht="15" hidden="false" customHeight="false" outlineLevel="0" collapsed="false">
      <c r="A710" s="11"/>
      <c r="B710" s="11"/>
      <c r="C710" s="11"/>
      <c r="D710" s="11"/>
      <c r="E710" s="11"/>
      <c r="F710" s="11"/>
      <c r="G710" s="11"/>
      <c r="H710" s="11"/>
      <c r="I710" s="11"/>
      <c r="J710" s="15"/>
      <c r="K710" s="15"/>
      <c r="L710" s="11"/>
      <c r="M710" s="11"/>
      <c r="N710" s="17" t="str">
        <f aca="false">IF(OR(J710="",K710="",J710=0),"",(J710-K710)/J710)</f>
        <v/>
      </c>
      <c r="O710" s="11"/>
    </row>
    <row r="711" customFormat="false" ht="15" hidden="false" customHeight="false" outlineLevel="0" collapsed="false">
      <c r="A711" s="11"/>
      <c r="B711" s="11"/>
      <c r="C711" s="11"/>
      <c r="D711" s="11"/>
      <c r="E711" s="11"/>
      <c r="F711" s="11"/>
      <c r="G711" s="11"/>
      <c r="H711" s="11"/>
      <c r="I711" s="11"/>
      <c r="J711" s="15"/>
      <c r="K711" s="15"/>
      <c r="L711" s="11"/>
      <c r="M711" s="11"/>
      <c r="N711" s="17" t="str">
        <f aca="false">IF(OR(J711="",K711="",J711=0),"",(J711-K711)/J711)</f>
        <v/>
      </c>
      <c r="O711" s="11"/>
    </row>
    <row r="712" customFormat="false" ht="15" hidden="false" customHeight="false" outlineLevel="0" collapsed="false">
      <c r="A712" s="11"/>
      <c r="B712" s="11"/>
      <c r="C712" s="11"/>
      <c r="D712" s="11"/>
      <c r="E712" s="11"/>
      <c r="F712" s="11"/>
      <c r="G712" s="11"/>
      <c r="H712" s="11"/>
      <c r="I712" s="11"/>
      <c r="J712" s="15"/>
      <c r="K712" s="15"/>
      <c r="L712" s="11"/>
      <c r="M712" s="11"/>
      <c r="N712" s="17" t="str">
        <f aca="false">IF(OR(J712="",K712="",J712=0),"",(J712-K712)/J712)</f>
        <v/>
      </c>
      <c r="O712" s="11"/>
    </row>
    <row r="713" customFormat="false" ht="15" hidden="false" customHeight="false" outlineLevel="0" collapsed="false">
      <c r="A713" s="11"/>
      <c r="B713" s="11"/>
      <c r="C713" s="11"/>
      <c r="D713" s="11"/>
      <c r="E713" s="11"/>
      <c r="F713" s="11"/>
      <c r="G713" s="11"/>
      <c r="H713" s="11"/>
      <c r="I713" s="11"/>
      <c r="J713" s="15"/>
      <c r="K713" s="15"/>
      <c r="L713" s="11"/>
      <c r="M713" s="11"/>
      <c r="N713" s="17" t="str">
        <f aca="false">IF(OR(J713="",K713="",J713=0),"",(J713-K713)/J713)</f>
        <v/>
      </c>
      <c r="O713" s="11"/>
    </row>
    <row r="714" customFormat="false" ht="15" hidden="false" customHeight="false" outlineLevel="0" collapsed="false">
      <c r="A714" s="11"/>
      <c r="B714" s="11"/>
      <c r="C714" s="11"/>
      <c r="D714" s="11"/>
      <c r="E714" s="11"/>
      <c r="F714" s="11"/>
      <c r="G714" s="11"/>
      <c r="H714" s="11"/>
      <c r="I714" s="11"/>
      <c r="J714" s="15"/>
      <c r="K714" s="15"/>
      <c r="L714" s="11"/>
      <c r="M714" s="11"/>
      <c r="N714" s="17" t="str">
        <f aca="false">IF(OR(J714="",K714="",J714=0),"",(J714-K714)/J714)</f>
        <v/>
      </c>
      <c r="O714" s="11"/>
    </row>
    <row r="715" customFormat="false" ht="15" hidden="false" customHeight="false" outlineLevel="0" collapsed="false">
      <c r="A715" s="11"/>
      <c r="B715" s="11"/>
      <c r="C715" s="11"/>
      <c r="D715" s="11"/>
      <c r="E715" s="11"/>
      <c r="F715" s="11"/>
      <c r="G715" s="11"/>
      <c r="H715" s="11"/>
      <c r="I715" s="11"/>
      <c r="J715" s="15"/>
      <c r="K715" s="15"/>
      <c r="L715" s="11"/>
      <c r="M715" s="11"/>
      <c r="N715" s="17" t="str">
        <f aca="false">IF(OR(J715="",K715="",J715=0),"",(J715-K715)/J715)</f>
        <v/>
      </c>
      <c r="O715" s="11"/>
    </row>
    <row r="716" customFormat="false" ht="15" hidden="false" customHeight="false" outlineLevel="0" collapsed="false">
      <c r="A716" s="11"/>
      <c r="B716" s="11"/>
      <c r="C716" s="11"/>
      <c r="D716" s="11"/>
      <c r="E716" s="11"/>
      <c r="F716" s="11"/>
      <c r="G716" s="11"/>
      <c r="H716" s="11"/>
      <c r="I716" s="11"/>
      <c r="J716" s="15"/>
      <c r="K716" s="15"/>
      <c r="L716" s="11"/>
      <c r="M716" s="11"/>
      <c r="N716" s="17" t="str">
        <f aca="false">IF(OR(J716="",K716="",J716=0),"",(J716-K716)/J716)</f>
        <v/>
      </c>
      <c r="O716" s="11"/>
    </row>
    <row r="717" customFormat="false" ht="15" hidden="false" customHeight="false" outlineLevel="0" collapsed="false">
      <c r="A717" s="11"/>
      <c r="B717" s="11"/>
      <c r="C717" s="11"/>
      <c r="D717" s="11"/>
      <c r="E717" s="11"/>
      <c r="F717" s="11"/>
      <c r="G717" s="11"/>
      <c r="H717" s="11"/>
      <c r="I717" s="11"/>
      <c r="J717" s="15"/>
      <c r="K717" s="15"/>
      <c r="L717" s="11"/>
      <c r="M717" s="11"/>
      <c r="N717" s="17" t="str">
        <f aca="false">IF(OR(J717="",K717="",J717=0),"",(J717-K717)/J717)</f>
        <v/>
      </c>
      <c r="O717" s="11"/>
    </row>
    <row r="718" customFormat="false" ht="15" hidden="false" customHeight="false" outlineLevel="0" collapsed="false">
      <c r="A718" s="11"/>
      <c r="B718" s="11"/>
      <c r="C718" s="11"/>
      <c r="D718" s="11"/>
      <c r="E718" s="11"/>
      <c r="F718" s="11"/>
      <c r="G718" s="11"/>
      <c r="H718" s="11"/>
      <c r="I718" s="11"/>
      <c r="J718" s="15"/>
      <c r="K718" s="15"/>
      <c r="L718" s="11"/>
      <c r="M718" s="11"/>
      <c r="N718" s="17" t="str">
        <f aca="false">IF(OR(J718="",K718="",J718=0),"",(J718-K718)/J718)</f>
        <v/>
      </c>
      <c r="O718" s="11"/>
    </row>
    <row r="719" customFormat="false" ht="15" hidden="false" customHeight="false" outlineLevel="0" collapsed="false">
      <c r="A719" s="11"/>
      <c r="B719" s="11"/>
      <c r="C719" s="11"/>
      <c r="D719" s="11"/>
      <c r="E719" s="11"/>
      <c r="F719" s="11"/>
      <c r="G719" s="11"/>
      <c r="H719" s="11"/>
      <c r="I719" s="11"/>
      <c r="J719" s="15"/>
      <c r="K719" s="15"/>
      <c r="L719" s="11"/>
      <c r="M719" s="11"/>
      <c r="N719" s="17" t="str">
        <f aca="false">IF(OR(J719="",K719="",J719=0),"",(J719-K719)/J719)</f>
        <v/>
      </c>
      <c r="O719" s="11"/>
    </row>
    <row r="720" customFormat="false" ht="15" hidden="false" customHeight="false" outlineLevel="0" collapsed="false">
      <c r="A720" s="11"/>
      <c r="B720" s="11"/>
      <c r="C720" s="11"/>
      <c r="D720" s="11"/>
      <c r="E720" s="11"/>
      <c r="F720" s="11"/>
      <c r="G720" s="11"/>
      <c r="H720" s="11"/>
      <c r="I720" s="11"/>
      <c r="J720" s="15"/>
      <c r="K720" s="15"/>
      <c r="L720" s="11"/>
      <c r="M720" s="11"/>
      <c r="N720" s="17" t="str">
        <f aca="false">IF(OR(J720="",K720="",J720=0),"",(J720-K720)/J720)</f>
        <v/>
      </c>
      <c r="O720" s="11"/>
    </row>
    <row r="721" customFormat="false" ht="15" hidden="false" customHeight="false" outlineLevel="0" collapsed="false">
      <c r="A721" s="11"/>
      <c r="B721" s="11"/>
      <c r="C721" s="11"/>
      <c r="D721" s="11"/>
      <c r="E721" s="11"/>
      <c r="F721" s="11"/>
      <c r="G721" s="11"/>
      <c r="H721" s="11"/>
      <c r="I721" s="11"/>
      <c r="J721" s="15"/>
      <c r="K721" s="15"/>
      <c r="L721" s="11"/>
      <c r="M721" s="11"/>
      <c r="N721" s="17" t="str">
        <f aca="false">IF(OR(J721="",K721="",J721=0),"",(J721-K721)/J721)</f>
        <v/>
      </c>
      <c r="O721" s="11"/>
    </row>
    <row r="722" customFormat="false" ht="15" hidden="false" customHeight="false" outlineLevel="0" collapsed="false">
      <c r="A722" s="11"/>
      <c r="B722" s="11"/>
      <c r="C722" s="11"/>
      <c r="D722" s="11"/>
      <c r="E722" s="11"/>
      <c r="F722" s="11"/>
      <c r="G722" s="11"/>
      <c r="H722" s="11"/>
      <c r="I722" s="11"/>
      <c r="J722" s="15"/>
      <c r="K722" s="15"/>
      <c r="L722" s="11"/>
      <c r="M722" s="11"/>
      <c r="N722" s="17" t="str">
        <f aca="false">IF(OR(J722="",K722="",J722=0),"",(J722-K722)/J722)</f>
        <v/>
      </c>
      <c r="O722" s="11"/>
    </row>
    <row r="723" customFormat="false" ht="15" hidden="false" customHeight="false" outlineLevel="0" collapsed="false">
      <c r="A723" s="11"/>
      <c r="B723" s="11"/>
      <c r="C723" s="11"/>
      <c r="D723" s="11"/>
      <c r="E723" s="11"/>
      <c r="F723" s="11"/>
      <c r="G723" s="11"/>
      <c r="H723" s="11"/>
      <c r="I723" s="11"/>
      <c r="J723" s="15"/>
      <c r="K723" s="15"/>
      <c r="L723" s="11"/>
      <c r="M723" s="11"/>
      <c r="N723" s="17" t="str">
        <f aca="false">IF(OR(J723="",K723="",J723=0),"",(J723-K723)/J723)</f>
        <v/>
      </c>
      <c r="O723" s="11"/>
    </row>
    <row r="724" customFormat="false" ht="15" hidden="false" customHeight="false" outlineLevel="0" collapsed="false">
      <c r="A724" s="11"/>
      <c r="B724" s="11"/>
      <c r="C724" s="11"/>
      <c r="D724" s="11"/>
      <c r="E724" s="11"/>
      <c r="F724" s="11"/>
      <c r="G724" s="11"/>
      <c r="H724" s="11"/>
      <c r="I724" s="11"/>
      <c r="J724" s="15"/>
      <c r="K724" s="15"/>
      <c r="L724" s="11"/>
      <c r="M724" s="11"/>
      <c r="N724" s="17" t="str">
        <f aca="false">IF(OR(J724="",K724="",J724=0),"",(J724-K724)/J724)</f>
        <v/>
      </c>
      <c r="O724" s="11"/>
    </row>
    <row r="725" customFormat="false" ht="15" hidden="false" customHeight="false" outlineLevel="0" collapsed="false">
      <c r="A725" s="11"/>
      <c r="B725" s="11"/>
      <c r="C725" s="11"/>
      <c r="D725" s="11"/>
      <c r="E725" s="11"/>
      <c r="F725" s="11"/>
      <c r="G725" s="11"/>
      <c r="H725" s="11"/>
      <c r="I725" s="11"/>
      <c r="J725" s="15"/>
      <c r="K725" s="15"/>
      <c r="L725" s="11"/>
      <c r="M725" s="11"/>
      <c r="N725" s="17" t="str">
        <f aca="false">IF(OR(J725="",K725="",J725=0),"",(J725-K725)/J725)</f>
        <v/>
      </c>
      <c r="O725" s="11"/>
    </row>
    <row r="726" customFormat="false" ht="15" hidden="false" customHeight="false" outlineLevel="0" collapsed="false">
      <c r="A726" s="11"/>
      <c r="B726" s="11"/>
      <c r="C726" s="11"/>
      <c r="D726" s="11"/>
      <c r="E726" s="11"/>
      <c r="F726" s="11"/>
      <c r="G726" s="11"/>
      <c r="H726" s="11"/>
      <c r="I726" s="11"/>
      <c r="J726" s="15"/>
      <c r="K726" s="15"/>
      <c r="L726" s="11"/>
      <c r="M726" s="11"/>
      <c r="N726" s="17" t="str">
        <f aca="false">IF(OR(J726="",K726="",J726=0),"",(J726-K726)/J726)</f>
        <v/>
      </c>
      <c r="O726" s="11"/>
    </row>
    <row r="727" customFormat="false" ht="15" hidden="false" customHeight="false" outlineLevel="0" collapsed="false">
      <c r="A727" s="11"/>
      <c r="B727" s="11"/>
      <c r="C727" s="11"/>
      <c r="D727" s="11"/>
      <c r="E727" s="11"/>
      <c r="F727" s="11"/>
      <c r="G727" s="11"/>
      <c r="H727" s="11"/>
      <c r="I727" s="11"/>
      <c r="J727" s="15"/>
      <c r="K727" s="15"/>
      <c r="L727" s="11"/>
      <c r="M727" s="11"/>
      <c r="N727" s="17" t="str">
        <f aca="false">IF(OR(J727="",K727="",J727=0),"",(J727-K727)/J727)</f>
        <v/>
      </c>
      <c r="O727" s="11"/>
    </row>
    <row r="728" customFormat="false" ht="15" hidden="false" customHeight="false" outlineLevel="0" collapsed="false">
      <c r="A728" s="11"/>
      <c r="B728" s="11"/>
      <c r="C728" s="11"/>
      <c r="D728" s="11"/>
      <c r="E728" s="11"/>
      <c r="F728" s="11"/>
      <c r="G728" s="11"/>
      <c r="H728" s="11"/>
      <c r="I728" s="11"/>
      <c r="J728" s="15"/>
      <c r="K728" s="15"/>
      <c r="L728" s="11"/>
      <c r="M728" s="11"/>
      <c r="N728" s="17" t="str">
        <f aca="false">IF(OR(J728="",K728="",J728=0),"",(J728-K728)/J728)</f>
        <v/>
      </c>
      <c r="O728" s="11"/>
    </row>
    <row r="729" customFormat="false" ht="15" hidden="false" customHeight="false" outlineLevel="0" collapsed="false">
      <c r="A729" s="11"/>
      <c r="B729" s="11"/>
      <c r="C729" s="11"/>
      <c r="D729" s="11"/>
      <c r="E729" s="11"/>
      <c r="F729" s="11"/>
      <c r="G729" s="11"/>
      <c r="H729" s="11"/>
      <c r="I729" s="11"/>
      <c r="J729" s="15"/>
      <c r="K729" s="15"/>
      <c r="L729" s="11"/>
      <c r="M729" s="11"/>
      <c r="N729" s="17" t="str">
        <f aca="false">IF(OR(J729="",K729="",J729=0),"",(J729-K729)/J729)</f>
        <v/>
      </c>
      <c r="O729" s="11"/>
    </row>
    <row r="730" customFormat="false" ht="15" hidden="false" customHeight="false" outlineLevel="0" collapsed="false">
      <c r="A730" s="11"/>
      <c r="B730" s="11"/>
      <c r="C730" s="11"/>
      <c r="D730" s="11"/>
      <c r="E730" s="11"/>
      <c r="F730" s="11"/>
      <c r="G730" s="11"/>
      <c r="H730" s="11"/>
      <c r="I730" s="11"/>
      <c r="J730" s="15"/>
      <c r="K730" s="15"/>
      <c r="L730" s="11"/>
      <c r="M730" s="11"/>
      <c r="N730" s="17" t="str">
        <f aca="false">IF(OR(J730="",K730="",J730=0),"",(J730-K730)/J730)</f>
        <v/>
      </c>
      <c r="O730" s="11"/>
    </row>
    <row r="731" customFormat="false" ht="15" hidden="false" customHeight="false" outlineLevel="0" collapsed="false">
      <c r="A731" s="11"/>
      <c r="B731" s="11"/>
      <c r="C731" s="11"/>
      <c r="D731" s="11"/>
      <c r="E731" s="11"/>
      <c r="F731" s="11"/>
      <c r="G731" s="11"/>
      <c r="H731" s="11"/>
      <c r="I731" s="11"/>
      <c r="J731" s="15"/>
      <c r="K731" s="15"/>
      <c r="L731" s="11"/>
      <c r="M731" s="11"/>
      <c r="N731" s="17" t="str">
        <f aca="false">IF(OR(J731="",K731="",J731=0),"",(J731-K731)/J731)</f>
        <v/>
      </c>
      <c r="O731" s="11"/>
    </row>
    <row r="732" customFormat="false" ht="15" hidden="false" customHeight="false" outlineLevel="0" collapsed="false">
      <c r="A732" s="11"/>
      <c r="B732" s="11"/>
      <c r="C732" s="11"/>
      <c r="D732" s="11"/>
      <c r="E732" s="11"/>
      <c r="F732" s="11"/>
      <c r="G732" s="11"/>
      <c r="H732" s="11"/>
      <c r="I732" s="11"/>
      <c r="J732" s="15"/>
      <c r="K732" s="15"/>
      <c r="L732" s="11"/>
      <c r="M732" s="11"/>
      <c r="N732" s="17" t="str">
        <f aca="false">IF(OR(J732="",K732="",J732=0),"",(J732-K732)/J732)</f>
        <v/>
      </c>
      <c r="O732" s="11"/>
    </row>
    <row r="733" customFormat="false" ht="15" hidden="false" customHeight="false" outlineLevel="0" collapsed="false">
      <c r="A733" s="11"/>
      <c r="B733" s="11"/>
      <c r="C733" s="11"/>
      <c r="D733" s="11"/>
      <c r="E733" s="11"/>
      <c r="F733" s="11"/>
      <c r="G733" s="11"/>
      <c r="H733" s="11"/>
      <c r="I733" s="11"/>
      <c r="J733" s="15"/>
      <c r="K733" s="15"/>
      <c r="L733" s="11"/>
      <c r="M733" s="11"/>
      <c r="N733" s="17" t="str">
        <f aca="false">IF(OR(J733="",K733="",J733=0),"",(J733-K733)/J733)</f>
        <v/>
      </c>
      <c r="O733" s="11"/>
    </row>
    <row r="734" customFormat="false" ht="15" hidden="false" customHeight="false" outlineLevel="0" collapsed="false">
      <c r="A734" s="11"/>
      <c r="B734" s="11"/>
      <c r="C734" s="11"/>
      <c r="D734" s="11"/>
      <c r="E734" s="11"/>
      <c r="F734" s="11"/>
      <c r="G734" s="11"/>
      <c r="H734" s="11"/>
      <c r="I734" s="11"/>
      <c r="J734" s="15"/>
      <c r="K734" s="15"/>
      <c r="L734" s="11"/>
      <c r="M734" s="11"/>
      <c r="N734" s="17" t="str">
        <f aca="false">IF(OR(J734="",K734="",J734=0),"",(J734-K734)/J734)</f>
        <v/>
      </c>
      <c r="O734" s="11"/>
    </row>
    <row r="735" customFormat="false" ht="15" hidden="false" customHeight="false" outlineLevel="0" collapsed="false">
      <c r="A735" s="11"/>
      <c r="B735" s="11"/>
      <c r="C735" s="11"/>
      <c r="D735" s="11"/>
      <c r="E735" s="11"/>
      <c r="F735" s="11"/>
      <c r="G735" s="11"/>
      <c r="H735" s="11"/>
      <c r="I735" s="11"/>
      <c r="J735" s="15"/>
      <c r="K735" s="15"/>
      <c r="L735" s="11"/>
      <c r="M735" s="11"/>
      <c r="N735" s="17" t="str">
        <f aca="false">IF(OR(J735="",K735="",J735=0),"",(J735-K735)/J735)</f>
        <v/>
      </c>
      <c r="O735" s="11"/>
    </row>
    <row r="736" customFormat="false" ht="15" hidden="false" customHeight="false" outlineLevel="0" collapsed="false">
      <c r="A736" s="11"/>
      <c r="B736" s="11"/>
      <c r="C736" s="11"/>
      <c r="D736" s="11"/>
      <c r="E736" s="11"/>
      <c r="F736" s="11"/>
      <c r="G736" s="11"/>
      <c r="H736" s="11"/>
      <c r="I736" s="11"/>
      <c r="J736" s="15"/>
      <c r="K736" s="15"/>
      <c r="L736" s="11"/>
      <c r="M736" s="11"/>
      <c r="N736" s="17" t="str">
        <f aca="false">IF(OR(J736="",K736="",J736=0),"",(J736-K736)/J736)</f>
        <v/>
      </c>
      <c r="O736" s="11"/>
    </row>
    <row r="737" customFormat="false" ht="15" hidden="false" customHeight="false" outlineLevel="0" collapsed="false">
      <c r="A737" s="11"/>
      <c r="B737" s="11"/>
      <c r="C737" s="11"/>
      <c r="D737" s="11"/>
      <c r="E737" s="11"/>
      <c r="F737" s="11"/>
      <c r="G737" s="11"/>
      <c r="H737" s="11"/>
      <c r="I737" s="11"/>
      <c r="J737" s="15"/>
      <c r="K737" s="15"/>
      <c r="L737" s="11"/>
      <c r="M737" s="11"/>
      <c r="N737" s="17" t="str">
        <f aca="false">IF(OR(J737="",K737="",J737=0),"",(J737-K737)/J737)</f>
        <v/>
      </c>
      <c r="O737" s="11"/>
    </row>
    <row r="738" customFormat="false" ht="15" hidden="false" customHeight="false" outlineLevel="0" collapsed="false">
      <c r="A738" s="11"/>
      <c r="B738" s="11"/>
      <c r="C738" s="11"/>
      <c r="D738" s="11"/>
      <c r="E738" s="11"/>
      <c r="F738" s="11"/>
      <c r="G738" s="11"/>
      <c r="H738" s="11"/>
      <c r="I738" s="11"/>
      <c r="J738" s="15"/>
      <c r="K738" s="15"/>
      <c r="L738" s="11"/>
      <c r="M738" s="11"/>
      <c r="N738" s="17" t="str">
        <f aca="false">IF(OR(J738="",K738="",J738=0),"",(J738-K738)/J738)</f>
        <v/>
      </c>
      <c r="O738" s="11"/>
    </row>
    <row r="739" customFormat="false" ht="15" hidden="false" customHeight="false" outlineLevel="0" collapsed="false">
      <c r="A739" s="11"/>
      <c r="B739" s="11"/>
      <c r="C739" s="11"/>
      <c r="D739" s="11"/>
      <c r="E739" s="11"/>
      <c r="F739" s="11"/>
      <c r="G739" s="11"/>
      <c r="H739" s="11"/>
      <c r="I739" s="11"/>
      <c r="J739" s="15"/>
      <c r="K739" s="15"/>
      <c r="L739" s="11"/>
      <c r="M739" s="11"/>
      <c r="N739" s="17" t="str">
        <f aca="false">IF(OR(J739="",K739="",J739=0),"",(J739-K739)/J739)</f>
        <v/>
      </c>
      <c r="O739" s="11"/>
    </row>
    <row r="740" customFormat="false" ht="15" hidden="false" customHeight="false" outlineLevel="0" collapsed="false">
      <c r="A740" s="11"/>
      <c r="B740" s="11"/>
      <c r="C740" s="11"/>
      <c r="D740" s="11"/>
      <c r="E740" s="11"/>
      <c r="F740" s="11"/>
      <c r="G740" s="11"/>
      <c r="H740" s="11"/>
      <c r="I740" s="11"/>
      <c r="J740" s="15"/>
      <c r="K740" s="15"/>
      <c r="L740" s="11"/>
      <c r="M740" s="11"/>
      <c r="N740" s="17" t="str">
        <f aca="false">IF(OR(J740="",K740="",J740=0),"",(J740-K740)/J740)</f>
        <v/>
      </c>
      <c r="O740" s="11"/>
    </row>
    <row r="741" customFormat="false" ht="15" hidden="false" customHeight="false" outlineLevel="0" collapsed="false">
      <c r="A741" s="11"/>
      <c r="B741" s="11"/>
      <c r="C741" s="11"/>
      <c r="D741" s="11"/>
      <c r="E741" s="11"/>
      <c r="F741" s="11"/>
      <c r="G741" s="11"/>
      <c r="H741" s="11"/>
      <c r="I741" s="11"/>
      <c r="J741" s="15"/>
      <c r="K741" s="15"/>
      <c r="L741" s="11"/>
      <c r="M741" s="11"/>
      <c r="N741" s="17" t="str">
        <f aca="false">IF(OR(J741="",K741="",J741=0),"",(J741-K741)/J741)</f>
        <v/>
      </c>
      <c r="O741" s="11"/>
    </row>
    <row r="742" customFormat="false" ht="15" hidden="false" customHeight="false" outlineLevel="0" collapsed="false">
      <c r="A742" s="11"/>
      <c r="B742" s="11"/>
      <c r="C742" s="11"/>
      <c r="D742" s="11"/>
      <c r="E742" s="11"/>
      <c r="F742" s="11"/>
      <c r="G742" s="11"/>
      <c r="H742" s="11"/>
      <c r="I742" s="11"/>
      <c r="J742" s="15"/>
      <c r="K742" s="15"/>
      <c r="L742" s="11"/>
      <c r="M742" s="11"/>
      <c r="N742" s="17" t="str">
        <f aca="false">IF(OR(J742="",K742="",J742=0),"",(J742-K742)/J742)</f>
        <v/>
      </c>
      <c r="O742" s="11"/>
    </row>
    <row r="743" customFormat="false" ht="15" hidden="false" customHeight="false" outlineLevel="0" collapsed="false">
      <c r="A743" s="11"/>
      <c r="B743" s="11"/>
      <c r="C743" s="11"/>
      <c r="D743" s="11"/>
      <c r="E743" s="11"/>
      <c r="F743" s="11"/>
      <c r="G743" s="11"/>
      <c r="H743" s="11"/>
      <c r="I743" s="11"/>
      <c r="J743" s="15"/>
      <c r="K743" s="15"/>
      <c r="L743" s="11"/>
      <c r="M743" s="11"/>
      <c r="N743" s="17" t="str">
        <f aca="false">IF(OR(J743="",K743="",J743=0),"",(J743-K743)/J743)</f>
        <v/>
      </c>
      <c r="O743" s="11"/>
    </row>
    <row r="744" customFormat="false" ht="15" hidden="false" customHeight="false" outlineLevel="0" collapsed="false">
      <c r="A744" s="11"/>
      <c r="B744" s="11"/>
      <c r="C744" s="11"/>
      <c r="D744" s="11"/>
      <c r="E744" s="11"/>
      <c r="F744" s="11"/>
      <c r="G744" s="11"/>
      <c r="H744" s="11"/>
      <c r="I744" s="11"/>
      <c r="J744" s="15"/>
      <c r="K744" s="15"/>
      <c r="L744" s="11"/>
      <c r="M744" s="11"/>
      <c r="N744" s="17" t="str">
        <f aca="false">IF(OR(J744="",K744="",J744=0),"",(J744-K744)/J744)</f>
        <v/>
      </c>
      <c r="O744" s="11"/>
    </row>
    <row r="745" customFormat="false" ht="15" hidden="false" customHeight="false" outlineLevel="0" collapsed="false">
      <c r="A745" s="11"/>
      <c r="B745" s="11"/>
      <c r="C745" s="11"/>
      <c r="D745" s="11"/>
      <c r="E745" s="11"/>
      <c r="F745" s="11"/>
      <c r="G745" s="11"/>
      <c r="H745" s="11"/>
      <c r="I745" s="11"/>
      <c r="J745" s="15"/>
      <c r="K745" s="15"/>
      <c r="L745" s="11"/>
      <c r="M745" s="11"/>
      <c r="N745" s="17" t="str">
        <f aca="false">IF(OR(J745="",K745="",J745=0),"",(J745-K745)/J745)</f>
        <v/>
      </c>
      <c r="O745" s="11"/>
    </row>
    <row r="746" customFormat="false" ht="15" hidden="false" customHeight="false" outlineLevel="0" collapsed="false">
      <c r="A746" s="11"/>
      <c r="B746" s="11"/>
      <c r="C746" s="11"/>
      <c r="D746" s="11"/>
      <c r="E746" s="11"/>
      <c r="F746" s="11"/>
      <c r="G746" s="11"/>
      <c r="H746" s="11"/>
      <c r="I746" s="11"/>
      <c r="J746" s="15"/>
      <c r="K746" s="15"/>
      <c r="L746" s="11"/>
      <c r="M746" s="11"/>
      <c r="N746" s="17" t="str">
        <f aca="false">IF(OR(J746="",K746="",J746=0),"",(J746-K746)/J746)</f>
        <v/>
      </c>
      <c r="O746" s="11"/>
    </row>
    <row r="747" customFormat="false" ht="15" hidden="false" customHeight="false" outlineLevel="0" collapsed="false">
      <c r="A747" s="11"/>
      <c r="B747" s="11"/>
      <c r="C747" s="11"/>
      <c r="D747" s="11"/>
      <c r="E747" s="11"/>
      <c r="F747" s="11"/>
      <c r="G747" s="11"/>
      <c r="H747" s="11"/>
      <c r="I747" s="11"/>
      <c r="J747" s="15"/>
      <c r="K747" s="15"/>
      <c r="L747" s="11"/>
      <c r="M747" s="11"/>
      <c r="N747" s="17" t="str">
        <f aca="false">IF(OR(J747="",K747="",J747=0),"",(J747-K747)/J747)</f>
        <v/>
      </c>
      <c r="O747" s="11"/>
    </row>
    <row r="748" customFormat="false" ht="15" hidden="false" customHeight="false" outlineLevel="0" collapsed="false">
      <c r="A748" s="11"/>
      <c r="B748" s="11"/>
      <c r="C748" s="11"/>
      <c r="D748" s="11"/>
      <c r="E748" s="11"/>
      <c r="F748" s="11"/>
      <c r="G748" s="11"/>
      <c r="H748" s="11"/>
      <c r="I748" s="11"/>
      <c r="J748" s="15"/>
      <c r="K748" s="15"/>
      <c r="L748" s="11"/>
      <c r="M748" s="11"/>
      <c r="N748" s="17" t="str">
        <f aca="false">IF(OR(J748="",K748="",J748=0),"",(J748-K748)/J748)</f>
        <v/>
      </c>
      <c r="O748" s="11"/>
    </row>
    <row r="749" customFormat="false" ht="15" hidden="false" customHeight="false" outlineLevel="0" collapsed="false">
      <c r="A749" s="11"/>
      <c r="B749" s="11"/>
      <c r="C749" s="11"/>
      <c r="D749" s="11"/>
      <c r="E749" s="11"/>
      <c r="F749" s="11"/>
      <c r="G749" s="11"/>
      <c r="H749" s="11"/>
      <c r="I749" s="11"/>
      <c r="J749" s="15"/>
      <c r="K749" s="15"/>
      <c r="L749" s="11"/>
      <c r="M749" s="11"/>
      <c r="N749" s="17" t="str">
        <f aca="false">IF(OR(J749="",K749="",J749=0),"",(J749-K749)/J749)</f>
        <v/>
      </c>
      <c r="O749" s="11"/>
    </row>
    <row r="750" customFormat="false" ht="15" hidden="false" customHeight="false" outlineLevel="0" collapsed="false">
      <c r="A750" s="11"/>
      <c r="B750" s="11"/>
      <c r="C750" s="11"/>
      <c r="D750" s="11"/>
      <c r="E750" s="11"/>
      <c r="F750" s="11"/>
      <c r="G750" s="11"/>
      <c r="H750" s="11"/>
      <c r="I750" s="11"/>
      <c r="J750" s="15"/>
      <c r="K750" s="15"/>
      <c r="L750" s="11"/>
      <c r="M750" s="11"/>
      <c r="N750" s="17" t="str">
        <f aca="false">IF(OR(J750="",K750="",J750=0),"",(J750-K750)/J750)</f>
        <v/>
      </c>
      <c r="O750" s="11"/>
    </row>
    <row r="751" customFormat="false" ht="15" hidden="false" customHeight="false" outlineLevel="0" collapsed="false">
      <c r="A751" s="11"/>
      <c r="B751" s="11"/>
      <c r="C751" s="11"/>
      <c r="D751" s="11"/>
      <c r="E751" s="11"/>
      <c r="F751" s="11"/>
      <c r="G751" s="11"/>
      <c r="H751" s="11"/>
      <c r="I751" s="11"/>
      <c r="J751" s="15"/>
      <c r="K751" s="15"/>
      <c r="L751" s="11"/>
      <c r="M751" s="11"/>
      <c r="N751" s="17" t="str">
        <f aca="false">IF(OR(J751="",K751="",J751=0),"",(J751-K751)/J751)</f>
        <v/>
      </c>
      <c r="O751" s="11"/>
    </row>
    <row r="752" customFormat="false" ht="15" hidden="false" customHeight="false" outlineLevel="0" collapsed="false">
      <c r="A752" s="11"/>
      <c r="B752" s="11"/>
      <c r="C752" s="11"/>
      <c r="D752" s="11"/>
      <c r="E752" s="11"/>
      <c r="F752" s="11"/>
      <c r="G752" s="11"/>
      <c r="H752" s="11"/>
      <c r="I752" s="11"/>
      <c r="J752" s="15"/>
      <c r="K752" s="15"/>
      <c r="L752" s="11"/>
      <c r="M752" s="11"/>
      <c r="N752" s="17" t="str">
        <f aca="false">IF(OR(J752="",K752="",J752=0),"",(J752-K752)/J752)</f>
        <v/>
      </c>
      <c r="O752" s="11"/>
    </row>
    <row r="753" customFormat="false" ht="15" hidden="false" customHeight="false" outlineLevel="0" collapsed="false">
      <c r="A753" s="11"/>
      <c r="B753" s="11"/>
      <c r="C753" s="11"/>
      <c r="D753" s="11"/>
      <c r="E753" s="11"/>
      <c r="F753" s="11"/>
      <c r="G753" s="11"/>
      <c r="H753" s="11"/>
      <c r="I753" s="11"/>
      <c r="J753" s="15"/>
      <c r="K753" s="15"/>
      <c r="L753" s="11"/>
      <c r="M753" s="11"/>
      <c r="N753" s="17" t="str">
        <f aca="false">IF(OR(J753="",K753="",J753=0),"",(J753-K753)/J753)</f>
        <v/>
      </c>
      <c r="O753" s="11"/>
    </row>
    <row r="754" customFormat="false" ht="15" hidden="false" customHeight="false" outlineLevel="0" collapsed="false">
      <c r="A754" s="11"/>
      <c r="B754" s="11"/>
      <c r="C754" s="11"/>
      <c r="D754" s="11"/>
      <c r="E754" s="11"/>
      <c r="F754" s="11"/>
      <c r="G754" s="11"/>
      <c r="H754" s="11"/>
      <c r="I754" s="11"/>
      <c r="J754" s="15"/>
      <c r="K754" s="15"/>
      <c r="L754" s="11"/>
      <c r="M754" s="11"/>
      <c r="N754" s="17" t="str">
        <f aca="false">IF(OR(J754="",K754="",J754=0),"",(J754-K754)/J754)</f>
        <v/>
      </c>
      <c r="O754" s="11"/>
    </row>
    <row r="755" customFormat="false" ht="15" hidden="false" customHeight="false" outlineLevel="0" collapsed="false">
      <c r="A755" s="11"/>
      <c r="B755" s="11"/>
      <c r="C755" s="11"/>
      <c r="D755" s="11"/>
      <c r="E755" s="11"/>
      <c r="F755" s="11"/>
      <c r="G755" s="11"/>
      <c r="H755" s="11"/>
      <c r="I755" s="11"/>
      <c r="J755" s="15"/>
      <c r="K755" s="15"/>
      <c r="L755" s="11"/>
      <c r="M755" s="11"/>
      <c r="N755" s="17" t="str">
        <f aca="false">IF(OR(J755="",K755="",J755=0),"",(J755-K755)/J755)</f>
        <v/>
      </c>
      <c r="O755" s="11"/>
    </row>
    <row r="756" customFormat="false" ht="15" hidden="false" customHeight="false" outlineLevel="0" collapsed="false">
      <c r="A756" s="11"/>
      <c r="B756" s="11"/>
      <c r="C756" s="11"/>
      <c r="D756" s="11"/>
      <c r="E756" s="11"/>
      <c r="F756" s="11"/>
      <c r="G756" s="11"/>
      <c r="H756" s="11"/>
      <c r="I756" s="11"/>
      <c r="J756" s="15"/>
      <c r="K756" s="15"/>
      <c r="L756" s="11"/>
      <c r="M756" s="11"/>
      <c r="N756" s="17" t="str">
        <f aca="false">IF(OR(J756="",K756="",J756=0),"",(J756-K756)/J756)</f>
        <v/>
      </c>
      <c r="O756" s="11"/>
    </row>
    <row r="757" customFormat="false" ht="15" hidden="false" customHeight="false" outlineLevel="0" collapsed="false">
      <c r="A757" s="11"/>
      <c r="B757" s="11"/>
      <c r="C757" s="11"/>
      <c r="D757" s="11"/>
      <c r="E757" s="11"/>
      <c r="F757" s="11"/>
      <c r="G757" s="11"/>
      <c r="H757" s="11"/>
      <c r="I757" s="11"/>
      <c r="J757" s="15"/>
      <c r="K757" s="15"/>
      <c r="L757" s="11"/>
      <c r="M757" s="11"/>
      <c r="N757" s="17" t="str">
        <f aca="false">IF(OR(J757="",K757="",J757=0),"",(J757-K757)/J757)</f>
        <v/>
      </c>
      <c r="O757" s="11"/>
    </row>
    <row r="758" customFormat="false" ht="15" hidden="false" customHeight="false" outlineLevel="0" collapsed="false">
      <c r="A758" s="11"/>
      <c r="B758" s="11"/>
      <c r="C758" s="11"/>
      <c r="D758" s="11"/>
      <c r="E758" s="11"/>
      <c r="F758" s="11"/>
      <c r="G758" s="11"/>
      <c r="H758" s="11"/>
      <c r="I758" s="11"/>
      <c r="J758" s="15"/>
      <c r="K758" s="15"/>
      <c r="L758" s="11"/>
      <c r="M758" s="11"/>
      <c r="N758" s="17" t="str">
        <f aca="false">IF(OR(J758="",K758="",J758=0),"",(J758-K758)/J758)</f>
        <v/>
      </c>
      <c r="O758" s="11"/>
    </row>
    <row r="759" customFormat="false" ht="15" hidden="false" customHeight="false" outlineLevel="0" collapsed="false">
      <c r="A759" s="11"/>
      <c r="B759" s="11"/>
      <c r="C759" s="11"/>
      <c r="D759" s="11"/>
      <c r="E759" s="11"/>
      <c r="F759" s="11"/>
      <c r="G759" s="11"/>
      <c r="H759" s="11"/>
      <c r="I759" s="11"/>
      <c r="J759" s="15"/>
      <c r="K759" s="15"/>
      <c r="L759" s="11"/>
      <c r="M759" s="11"/>
      <c r="N759" s="17" t="str">
        <f aca="false">IF(OR(J759="",K759="",J759=0),"",(J759-K759)/J759)</f>
        <v/>
      </c>
      <c r="O759" s="11"/>
    </row>
    <row r="760" customFormat="false" ht="15" hidden="false" customHeight="false" outlineLevel="0" collapsed="false">
      <c r="A760" s="11"/>
      <c r="B760" s="11"/>
      <c r="C760" s="11"/>
      <c r="D760" s="11"/>
      <c r="E760" s="11"/>
      <c r="F760" s="11"/>
      <c r="G760" s="11"/>
      <c r="H760" s="11"/>
      <c r="I760" s="11"/>
      <c r="J760" s="15"/>
      <c r="K760" s="15"/>
      <c r="L760" s="11"/>
      <c r="M760" s="11"/>
      <c r="N760" s="17" t="str">
        <f aca="false">IF(OR(J760="",K760="",J760=0),"",(J760-K760)/J760)</f>
        <v/>
      </c>
      <c r="O760" s="11"/>
    </row>
    <row r="761" customFormat="false" ht="15" hidden="false" customHeight="false" outlineLevel="0" collapsed="false">
      <c r="A761" s="11"/>
      <c r="B761" s="11"/>
      <c r="C761" s="11"/>
      <c r="D761" s="11"/>
      <c r="E761" s="11"/>
      <c r="F761" s="11"/>
      <c r="G761" s="11"/>
      <c r="H761" s="11"/>
      <c r="I761" s="11"/>
      <c r="J761" s="15"/>
      <c r="K761" s="15"/>
      <c r="L761" s="11"/>
      <c r="M761" s="11"/>
      <c r="N761" s="17" t="str">
        <f aca="false">IF(OR(J761="",K761="",J761=0),"",(J761-K761)/J761)</f>
        <v/>
      </c>
      <c r="O761" s="11"/>
    </row>
    <row r="762" customFormat="false" ht="15" hidden="false" customHeight="false" outlineLevel="0" collapsed="false">
      <c r="A762" s="11"/>
      <c r="B762" s="11"/>
      <c r="C762" s="11"/>
      <c r="D762" s="11"/>
      <c r="E762" s="11"/>
      <c r="F762" s="11"/>
      <c r="G762" s="11"/>
      <c r="H762" s="11"/>
      <c r="I762" s="11"/>
      <c r="J762" s="15"/>
      <c r="K762" s="15"/>
      <c r="L762" s="11"/>
      <c r="M762" s="11"/>
      <c r="N762" s="17" t="str">
        <f aca="false">IF(OR(J762="",K762="",J762=0),"",(J762-K762)/J762)</f>
        <v/>
      </c>
      <c r="O762" s="11"/>
    </row>
    <row r="763" customFormat="false" ht="15" hidden="false" customHeight="false" outlineLevel="0" collapsed="false">
      <c r="A763" s="11"/>
      <c r="B763" s="11"/>
      <c r="C763" s="11"/>
      <c r="D763" s="11"/>
      <c r="E763" s="11"/>
      <c r="F763" s="11"/>
      <c r="G763" s="11"/>
      <c r="H763" s="11"/>
      <c r="I763" s="11"/>
      <c r="J763" s="15"/>
      <c r="K763" s="15"/>
      <c r="L763" s="11"/>
      <c r="M763" s="11"/>
      <c r="N763" s="17" t="str">
        <f aca="false">IF(OR(J763="",K763="",J763=0),"",(J763-K763)/J763)</f>
        <v/>
      </c>
      <c r="O763" s="11"/>
    </row>
    <row r="764" customFormat="false" ht="15" hidden="false" customHeight="false" outlineLevel="0" collapsed="false">
      <c r="A764" s="11"/>
      <c r="B764" s="11"/>
      <c r="C764" s="11"/>
      <c r="D764" s="11"/>
      <c r="E764" s="11"/>
      <c r="F764" s="11"/>
      <c r="G764" s="11"/>
      <c r="H764" s="11"/>
      <c r="I764" s="11"/>
      <c r="J764" s="15"/>
      <c r="K764" s="15"/>
      <c r="L764" s="11"/>
      <c r="M764" s="11"/>
      <c r="N764" s="17" t="str">
        <f aca="false">IF(OR(J764="",K764="",J764=0),"",(J764-K764)/J764)</f>
        <v/>
      </c>
      <c r="O764" s="11"/>
    </row>
    <row r="765" customFormat="false" ht="15" hidden="false" customHeight="false" outlineLevel="0" collapsed="false">
      <c r="A765" s="11"/>
      <c r="B765" s="11"/>
      <c r="C765" s="11"/>
      <c r="D765" s="11"/>
      <c r="E765" s="11"/>
      <c r="F765" s="11"/>
      <c r="G765" s="11"/>
      <c r="H765" s="11"/>
      <c r="I765" s="11"/>
      <c r="J765" s="15"/>
      <c r="K765" s="15"/>
      <c r="L765" s="11"/>
      <c r="M765" s="11"/>
      <c r="N765" s="17" t="str">
        <f aca="false">IF(OR(J765="",K765="",J765=0),"",(J765-K765)/J765)</f>
        <v/>
      </c>
      <c r="O765" s="11"/>
    </row>
    <row r="766" customFormat="false" ht="15" hidden="false" customHeight="false" outlineLevel="0" collapsed="false">
      <c r="A766" s="11"/>
      <c r="B766" s="11"/>
      <c r="C766" s="11"/>
      <c r="D766" s="11"/>
      <c r="E766" s="11"/>
      <c r="F766" s="11"/>
      <c r="G766" s="11"/>
      <c r="H766" s="11"/>
      <c r="I766" s="11"/>
      <c r="J766" s="15"/>
      <c r="K766" s="15"/>
      <c r="L766" s="11"/>
      <c r="M766" s="11"/>
      <c r="N766" s="17" t="str">
        <f aca="false">IF(OR(J766="",K766="",J766=0),"",(J766-K766)/J766)</f>
        <v/>
      </c>
      <c r="O766" s="11"/>
    </row>
    <row r="767" customFormat="false" ht="15" hidden="false" customHeight="false" outlineLevel="0" collapsed="false">
      <c r="A767" s="11"/>
      <c r="B767" s="11"/>
      <c r="C767" s="11"/>
      <c r="D767" s="11"/>
      <c r="E767" s="11"/>
      <c r="F767" s="11"/>
      <c r="G767" s="11"/>
      <c r="H767" s="11"/>
      <c r="I767" s="11"/>
      <c r="J767" s="15"/>
      <c r="K767" s="15"/>
      <c r="L767" s="11"/>
      <c r="M767" s="11"/>
      <c r="N767" s="17" t="str">
        <f aca="false">IF(OR(J767="",K767="",J767=0),"",(J767-K767)/J767)</f>
        <v/>
      </c>
      <c r="O767" s="11"/>
    </row>
    <row r="768" customFormat="false" ht="15" hidden="false" customHeight="false" outlineLevel="0" collapsed="false">
      <c r="A768" s="11"/>
      <c r="B768" s="11"/>
      <c r="C768" s="11"/>
      <c r="D768" s="11"/>
      <c r="E768" s="11"/>
      <c r="F768" s="11"/>
      <c r="G768" s="11"/>
      <c r="H768" s="11"/>
      <c r="I768" s="11"/>
      <c r="J768" s="15"/>
      <c r="K768" s="15"/>
      <c r="L768" s="11"/>
      <c r="M768" s="11"/>
      <c r="N768" s="17" t="str">
        <f aca="false">IF(OR(J768="",K768="",J768=0),"",(J768-K768)/J768)</f>
        <v/>
      </c>
      <c r="O768" s="11"/>
    </row>
    <row r="769" customFormat="false" ht="15" hidden="false" customHeight="false" outlineLevel="0" collapsed="false">
      <c r="A769" s="11"/>
      <c r="B769" s="11"/>
      <c r="C769" s="11"/>
      <c r="D769" s="11"/>
      <c r="E769" s="11"/>
      <c r="F769" s="11"/>
      <c r="G769" s="11"/>
      <c r="H769" s="11"/>
      <c r="I769" s="11"/>
      <c r="J769" s="15"/>
      <c r="K769" s="15"/>
      <c r="L769" s="11"/>
      <c r="M769" s="11"/>
      <c r="N769" s="17" t="str">
        <f aca="false">IF(OR(J769="",K769="",J769=0),"",(J769-K769)/J769)</f>
        <v/>
      </c>
      <c r="O769" s="11"/>
    </row>
    <row r="770" customFormat="false" ht="15" hidden="false" customHeight="false" outlineLevel="0" collapsed="false">
      <c r="A770" s="11"/>
      <c r="B770" s="11"/>
      <c r="C770" s="11"/>
      <c r="D770" s="11"/>
      <c r="E770" s="11"/>
      <c r="F770" s="11"/>
      <c r="G770" s="11"/>
      <c r="H770" s="11"/>
      <c r="I770" s="11"/>
      <c r="J770" s="15"/>
      <c r="K770" s="15"/>
      <c r="L770" s="11"/>
      <c r="M770" s="11"/>
      <c r="N770" s="17" t="str">
        <f aca="false">IF(OR(J770="",K770="",J770=0),"",(J770-K770)/J770)</f>
        <v/>
      </c>
      <c r="O770" s="11"/>
    </row>
    <row r="771" customFormat="false" ht="15" hidden="false" customHeight="false" outlineLevel="0" collapsed="false">
      <c r="A771" s="11"/>
      <c r="B771" s="11"/>
      <c r="C771" s="11"/>
      <c r="D771" s="11"/>
      <c r="E771" s="11"/>
      <c r="F771" s="11"/>
      <c r="G771" s="11"/>
      <c r="H771" s="11"/>
      <c r="I771" s="11"/>
      <c r="J771" s="15"/>
      <c r="K771" s="15"/>
      <c r="L771" s="11"/>
      <c r="M771" s="11"/>
      <c r="N771" s="17" t="str">
        <f aca="false">IF(OR(J771="",K771="",J771=0),"",(J771-K771)/J771)</f>
        <v/>
      </c>
      <c r="O771" s="11"/>
    </row>
    <row r="772" customFormat="false" ht="15" hidden="false" customHeight="false" outlineLevel="0" collapsed="false">
      <c r="A772" s="11"/>
      <c r="B772" s="11"/>
      <c r="C772" s="11"/>
      <c r="D772" s="11"/>
      <c r="E772" s="11"/>
      <c r="F772" s="11"/>
      <c r="G772" s="11"/>
      <c r="H772" s="11"/>
      <c r="I772" s="11"/>
      <c r="J772" s="15"/>
      <c r="K772" s="15"/>
      <c r="L772" s="11"/>
      <c r="M772" s="11"/>
      <c r="N772" s="17" t="str">
        <f aca="false">IF(OR(J772="",K772="",J772=0),"",(J772-K772)/J772)</f>
        <v/>
      </c>
      <c r="O772" s="11"/>
    </row>
    <row r="773" customFormat="false" ht="15" hidden="false" customHeight="false" outlineLevel="0" collapsed="false">
      <c r="A773" s="11"/>
      <c r="B773" s="11"/>
      <c r="C773" s="11"/>
      <c r="D773" s="11"/>
      <c r="E773" s="11"/>
      <c r="F773" s="11"/>
      <c r="G773" s="11"/>
      <c r="H773" s="11"/>
      <c r="I773" s="11"/>
      <c r="J773" s="15"/>
      <c r="K773" s="15"/>
      <c r="L773" s="11"/>
      <c r="M773" s="11"/>
      <c r="N773" s="17" t="str">
        <f aca="false">IF(OR(J773="",K773="",J773=0),"",(J773-K773)/J773)</f>
        <v/>
      </c>
      <c r="O773" s="11"/>
    </row>
    <row r="774" customFormat="false" ht="15" hidden="false" customHeight="false" outlineLevel="0" collapsed="false">
      <c r="A774" s="11"/>
      <c r="B774" s="11"/>
      <c r="C774" s="11"/>
      <c r="D774" s="11"/>
      <c r="E774" s="11"/>
      <c r="F774" s="11"/>
      <c r="G774" s="11"/>
      <c r="H774" s="11"/>
      <c r="I774" s="11"/>
      <c r="J774" s="15"/>
      <c r="K774" s="15"/>
      <c r="L774" s="11"/>
      <c r="M774" s="11"/>
      <c r="N774" s="17" t="str">
        <f aca="false">IF(OR(J774="",K774="",J774=0),"",(J774-K774)/J774)</f>
        <v/>
      </c>
      <c r="O774" s="11"/>
    </row>
    <row r="775" customFormat="false" ht="15" hidden="false" customHeight="false" outlineLevel="0" collapsed="false">
      <c r="A775" s="11"/>
      <c r="B775" s="11"/>
      <c r="C775" s="11"/>
      <c r="D775" s="11"/>
      <c r="E775" s="11"/>
      <c r="F775" s="11"/>
      <c r="G775" s="11"/>
      <c r="H775" s="11"/>
      <c r="I775" s="11"/>
      <c r="J775" s="15"/>
      <c r="K775" s="15"/>
      <c r="L775" s="11"/>
      <c r="M775" s="11"/>
      <c r="N775" s="17" t="str">
        <f aca="false">IF(OR(J775="",K775="",J775=0),"",(J775-K775)/J775)</f>
        <v/>
      </c>
      <c r="O775" s="11"/>
    </row>
    <row r="776" customFormat="false" ht="15" hidden="false" customHeight="false" outlineLevel="0" collapsed="false">
      <c r="A776" s="11"/>
      <c r="B776" s="11"/>
      <c r="C776" s="11"/>
      <c r="D776" s="11"/>
      <c r="E776" s="11"/>
      <c r="F776" s="11"/>
      <c r="G776" s="11"/>
      <c r="H776" s="11"/>
      <c r="I776" s="11"/>
      <c r="J776" s="15"/>
      <c r="K776" s="15"/>
      <c r="L776" s="11"/>
      <c r="M776" s="11"/>
      <c r="N776" s="17" t="str">
        <f aca="false">IF(OR(J776="",K776="",J776=0),"",(J776-K776)/J776)</f>
        <v/>
      </c>
      <c r="O776" s="11"/>
    </row>
    <row r="777" customFormat="false" ht="15" hidden="false" customHeight="false" outlineLevel="0" collapsed="false">
      <c r="A777" s="11"/>
      <c r="B777" s="11"/>
      <c r="C777" s="11"/>
      <c r="D777" s="11"/>
      <c r="E777" s="11"/>
      <c r="F777" s="11"/>
      <c r="G777" s="11"/>
      <c r="H777" s="11"/>
      <c r="I777" s="11"/>
      <c r="J777" s="15"/>
      <c r="K777" s="15"/>
      <c r="L777" s="11"/>
      <c r="M777" s="11"/>
      <c r="N777" s="17" t="str">
        <f aca="false">IF(OR(J777="",K777="",J777=0),"",(J777-K777)/J777)</f>
        <v/>
      </c>
      <c r="O777" s="11"/>
    </row>
    <row r="778" customFormat="false" ht="15" hidden="false" customHeight="false" outlineLevel="0" collapsed="false">
      <c r="A778" s="11"/>
      <c r="B778" s="11"/>
      <c r="C778" s="11"/>
      <c r="D778" s="11"/>
      <c r="E778" s="11"/>
      <c r="F778" s="11"/>
      <c r="G778" s="11"/>
      <c r="H778" s="11"/>
      <c r="I778" s="11"/>
      <c r="J778" s="15"/>
      <c r="K778" s="15"/>
      <c r="L778" s="11"/>
      <c r="M778" s="11"/>
      <c r="N778" s="17" t="str">
        <f aca="false">IF(OR(J778="",K778="",J778=0),"",(J778-K778)/J778)</f>
        <v/>
      </c>
      <c r="O778" s="11"/>
    </row>
    <row r="779" customFormat="false" ht="15" hidden="false" customHeight="false" outlineLevel="0" collapsed="false">
      <c r="A779" s="11"/>
      <c r="B779" s="11"/>
      <c r="C779" s="11"/>
      <c r="D779" s="11"/>
      <c r="E779" s="11"/>
      <c r="F779" s="11"/>
      <c r="G779" s="11"/>
      <c r="H779" s="11"/>
      <c r="I779" s="11"/>
      <c r="J779" s="15"/>
      <c r="K779" s="15"/>
      <c r="L779" s="11"/>
      <c r="M779" s="11"/>
      <c r="N779" s="17" t="str">
        <f aca="false">IF(OR(J779="",K779="",J779=0),"",(J779-K779)/J779)</f>
        <v/>
      </c>
      <c r="O779" s="11"/>
    </row>
    <row r="780" customFormat="false" ht="15" hidden="false" customHeight="false" outlineLevel="0" collapsed="false">
      <c r="A780" s="11"/>
      <c r="B780" s="11"/>
      <c r="C780" s="11"/>
      <c r="D780" s="11"/>
      <c r="E780" s="11"/>
      <c r="F780" s="11"/>
      <c r="G780" s="11"/>
      <c r="H780" s="11"/>
      <c r="I780" s="11"/>
      <c r="J780" s="15"/>
      <c r="K780" s="15"/>
      <c r="L780" s="11"/>
      <c r="M780" s="11"/>
      <c r="N780" s="17" t="str">
        <f aca="false">IF(OR(J780="",K780="",J780=0),"",(J780-K780)/J780)</f>
        <v/>
      </c>
      <c r="O780" s="11"/>
    </row>
    <row r="781" customFormat="false" ht="15" hidden="false" customHeight="false" outlineLevel="0" collapsed="false">
      <c r="A781" s="11"/>
      <c r="B781" s="11"/>
      <c r="C781" s="11"/>
      <c r="D781" s="11"/>
      <c r="E781" s="11"/>
      <c r="F781" s="11"/>
      <c r="G781" s="11"/>
      <c r="H781" s="11"/>
      <c r="I781" s="11"/>
      <c r="J781" s="15"/>
      <c r="K781" s="15"/>
      <c r="L781" s="11"/>
      <c r="M781" s="11"/>
      <c r="N781" s="17" t="str">
        <f aca="false">IF(OR(J781="",K781="",J781=0),"",(J781-K781)/J781)</f>
        <v/>
      </c>
      <c r="O781" s="11"/>
    </row>
    <row r="782" customFormat="false" ht="15" hidden="false" customHeight="false" outlineLevel="0" collapsed="false">
      <c r="A782" s="11"/>
      <c r="B782" s="11"/>
      <c r="C782" s="11"/>
      <c r="D782" s="11"/>
      <c r="E782" s="11"/>
      <c r="F782" s="11"/>
      <c r="G782" s="11"/>
      <c r="H782" s="11"/>
      <c r="I782" s="11"/>
      <c r="J782" s="15"/>
      <c r="K782" s="15"/>
      <c r="L782" s="11"/>
      <c r="M782" s="11"/>
      <c r="N782" s="17" t="str">
        <f aca="false">IF(OR(J782="",K782="",J782=0),"",(J782-K782)/J782)</f>
        <v/>
      </c>
      <c r="O782" s="11"/>
    </row>
    <row r="783" customFormat="false" ht="15" hidden="false" customHeight="false" outlineLevel="0" collapsed="false">
      <c r="A783" s="11"/>
      <c r="B783" s="11"/>
      <c r="C783" s="11"/>
      <c r="D783" s="11"/>
      <c r="E783" s="11"/>
      <c r="F783" s="11"/>
      <c r="G783" s="11"/>
      <c r="H783" s="11"/>
      <c r="I783" s="11"/>
      <c r="J783" s="15"/>
      <c r="K783" s="15"/>
      <c r="L783" s="11"/>
      <c r="M783" s="11"/>
      <c r="N783" s="17" t="str">
        <f aca="false">IF(OR(J783="",K783="",J783=0),"",(J783-K783)/J783)</f>
        <v/>
      </c>
      <c r="O783" s="11"/>
    </row>
    <row r="784" customFormat="false" ht="15" hidden="false" customHeight="false" outlineLevel="0" collapsed="false">
      <c r="A784" s="11"/>
      <c r="B784" s="11"/>
      <c r="C784" s="11"/>
      <c r="D784" s="11"/>
      <c r="E784" s="11"/>
      <c r="F784" s="11"/>
      <c r="G784" s="11"/>
      <c r="H784" s="11"/>
      <c r="I784" s="11"/>
      <c r="J784" s="15"/>
      <c r="K784" s="15"/>
      <c r="L784" s="11"/>
      <c r="M784" s="11"/>
      <c r="N784" s="17" t="str">
        <f aca="false">IF(OR(J784="",K784="",J784=0),"",(J784-K784)/J784)</f>
        <v/>
      </c>
      <c r="O784" s="11"/>
    </row>
    <row r="785" customFormat="false" ht="15" hidden="false" customHeight="false" outlineLevel="0" collapsed="false">
      <c r="A785" s="11"/>
      <c r="B785" s="11"/>
      <c r="C785" s="11"/>
      <c r="D785" s="11"/>
      <c r="E785" s="11"/>
      <c r="F785" s="11"/>
      <c r="G785" s="11"/>
      <c r="H785" s="11"/>
      <c r="I785" s="11"/>
      <c r="J785" s="15"/>
      <c r="K785" s="15"/>
      <c r="L785" s="11"/>
      <c r="M785" s="11"/>
      <c r="N785" s="17" t="str">
        <f aca="false">IF(OR(J785="",K785="",J785=0),"",(J785-K785)/J785)</f>
        <v/>
      </c>
      <c r="O785" s="11"/>
    </row>
    <row r="786" customFormat="false" ht="15" hidden="false" customHeight="false" outlineLevel="0" collapsed="false">
      <c r="A786" s="11"/>
      <c r="B786" s="11"/>
      <c r="C786" s="11"/>
      <c r="D786" s="11"/>
      <c r="E786" s="11"/>
      <c r="F786" s="11"/>
      <c r="G786" s="11"/>
      <c r="H786" s="11"/>
      <c r="I786" s="11"/>
      <c r="J786" s="15"/>
      <c r="K786" s="15"/>
      <c r="L786" s="11"/>
      <c r="M786" s="11"/>
      <c r="N786" s="17" t="str">
        <f aca="false">IF(OR(J786="",K786="",J786=0),"",(J786-K786)/J786)</f>
        <v/>
      </c>
      <c r="O786" s="11"/>
    </row>
    <row r="787" customFormat="false" ht="15" hidden="false" customHeight="false" outlineLevel="0" collapsed="false">
      <c r="A787" s="11"/>
      <c r="B787" s="11"/>
      <c r="C787" s="11"/>
      <c r="D787" s="11"/>
      <c r="E787" s="11"/>
      <c r="F787" s="11"/>
      <c r="G787" s="11"/>
      <c r="H787" s="11"/>
      <c r="I787" s="11"/>
      <c r="J787" s="15"/>
      <c r="K787" s="15"/>
      <c r="L787" s="11"/>
      <c r="M787" s="11"/>
      <c r="N787" s="17" t="str">
        <f aca="false">IF(OR(J787="",K787="",J787=0),"",(J787-K787)/J787)</f>
        <v/>
      </c>
      <c r="O787" s="11"/>
    </row>
    <row r="788" customFormat="false" ht="15" hidden="false" customHeight="false" outlineLevel="0" collapsed="false">
      <c r="A788" s="11"/>
      <c r="B788" s="11"/>
      <c r="C788" s="11"/>
      <c r="D788" s="11"/>
      <c r="E788" s="11"/>
      <c r="F788" s="11"/>
      <c r="G788" s="11"/>
      <c r="H788" s="11"/>
      <c r="I788" s="11"/>
      <c r="J788" s="15"/>
      <c r="K788" s="15"/>
      <c r="L788" s="11"/>
      <c r="M788" s="11"/>
      <c r="N788" s="17" t="str">
        <f aca="false">IF(OR(J788="",K788="",J788=0),"",(J788-K788)/J788)</f>
        <v/>
      </c>
      <c r="O788" s="11"/>
    </row>
    <row r="789" customFormat="false" ht="15" hidden="false" customHeight="false" outlineLevel="0" collapsed="false">
      <c r="A789" s="11"/>
      <c r="B789" s="11"/>
      <c r="C789" s="11"/>
      <c r="D789" s="11"/>
      <c r="E789" s="11"/>
      <c r="F789" s="11"/>
      <c r="G789" s="11"/>
      <c r="H789" s="11"/>
      <c r="I789" s="11"/>
      <c r="J789" s="15"/>
      <c r="K789" s="15"/>
      <c r="L789" s="11"/>
      <c r="M789" s="11"/>
      <c r="N789" s="17" t="str">
        <f aca="false">IF(OR(J789="",K789="",J789=0),"",(J789-K789)/J789)</f>
        <v/>
      </c>
      <c r="O789" s="11"/>
    </row>
    <row r="790" customFormat="false" ht="15" hidden="false" customHeight="false" outlineLevel="0" collapsed="false">
      <c r="A790" s="11"/>
      <c r="B790" s="11"/>
      <c r="C790" s="11"/>
      <c r="D790" s="11"/>
      <c r="E790" s="11"/>
      <c r="F790" s="11"/>
      <c r="G790" s="11"/>
      <c r="H790" s="11"/>
      <c r="I790" s="11"/>
      <c r="J790" s="15"/>
      <c r="K790" s="15"/>
      <c r="L790" s="11"/>
      <c r="M790" s="11"/>
      <c r="N790" s="17" t="str">
        <f aca="false">IF(OR(J790="",K790="",J790=0),"",(J790-K790)/J790)</f>
        <v/>
      </c>
      <c r="O790" s="11"/>
    </row>
    <row r="791" customFormat="false" ht="15" hidden="false" customHeight="false" outlineLevel="0" collapsed="false">
      <c r="A791" s="11"/>
      <c r="B791" s="11"/>
      <c r="C791" s="11"/>
      <c r="D791" s="11"/>
      <c r="E791" s="11"/>
      <c r="F791" s="11"/>
      <c r="G791" s="11"/>
      <c r="H791" s="11"/>
      <c r="I791" s="11"/>
      <c r="J791" s="15"/>
      <c r="K791" s="15"/>
      <c r="L791" s="11"/>
      <c r="M791" s="11"/>
      <c r="N791" s="17" t="str">
        <f aca="false">IF(OR(J791="",K791="",J791=0),"",(J791-K791)/J791)</f>
        <v/>
      </c>
      <c r="O791" s="11"/>
    </row>
    <row r="792" customFormat="false" ht="15" hidden="false" customHeight="false" outlineLevel="0" collapsed="false">
      <c r="A792" s="11"/>
      <c r="B792" s="11"/>
      <c r="C792" s="11"/>
      <c r="D792" s="11"/>
      <c r="E792" s="11"/>
      <c r="F792" s="11"/>
      <c r="G792" s="11"/>
      <c r="H792" s="11"/>
      <c r="I792" s="11"/>
      <c r="J792" s="15"/>
      <c r="K792" s="15"/>
      <c r="L792" s="11"/>
      <c r="M792" s="11"/>
      <c r="N792" s="17" t="str">
        <f aca="false">IF(OR(J792="",K792="",J792=0),"",(J792-K792)/J792)</f>
        <v/>
      </c>
      <c r="O792" s="11"/>
    </row>
    <row r="793" customFormat="false" ht="15" hidden="false" customHeight="false" outlineLevel="0" collapsed="false">
      <c r="A793" s="11"/>
      <c r="B793" s="11"/>
      <c r="C793" s="11"/>
      <c r="D793" s="11"/>
      <c r="E793" s="11"/>
      <c r="F793" s="11"/>
      <c r="G793" s="11"/>
      <c r="H793" s="11"/>
      <c r="I793" s="11"/>
      <c r="J793" s="15"/>
      <c r="K793" s="15"/>
      <c r="L793" s="11"/>
      <c r="M793" s="11"/>
      <c r="N793" s="17" t="str">
        <f aca="false">IF(OR(J793="",K793="",J793=0),"",(J793-K793)/J793)</f>
        <v/>
      </c>
      <c r="O793" s="11"/>
    </row>
    <row r="794" customFormat="false" ht="15" hidden="false" customHeight="false" outlineLevel="0" collapsed="false">
      <c r="A794" s="11"/>
      <c r="B794" s="11"/>
      <c r="C794" s="11"/>
      <c r="D794" s="11"/>
      <c r="E794" s="11"/>
      <c r="F794" s="11"/>
      <c r="G794" s="11"/>
      <c r="H794" s="11"/>
      <c r="I794" s="11"/>
      <c r="J794" s="15"/>
      <c r="K794" s="15"/>
      <c r="L794" s="11"/>
      <c r="M794" s="11"/>
      <c r="N794" s="17" t="str">
        <f aca="false">IF(OR(J794="",K794="",J794=0),"",(J794-K794)/J794)</f>
        <v/>
      </c>
      <c r="O794" s="11"/>
    </row>
    <row r="795" customFormat="false" ht="15" hidden="false" customHeight="false" outlineLevel="0" collapsed="false">
      <c r="A795" s="11"/>
      <c r="B795" s="11"/>
      <c r="C795" s="11"/>
      <c r="D795" s="11"/>
      <c r="E795" s="11"/>
      <c r="F795" s="11"/>
      <c r="G795" s="11"/>
      <c r="H795" s="11"/>
      <c r="I795" s="11"/>
      <c r="J795" s="15"/>
      <c r="K795" s="15"/>
      <c r="L795" s="11"/>
      <c r="M795" s="11"/>
      <c r="N795" s="17" t="str">
        <f aca="false">IF(OR(J795="",K795="",J795=0),"",(J795-K795)/J795)</f>
        <v/>
      </c>
      <c r="O795" s="11"/>
    </row>
    <row r="796" customFormat="false" ht="15" hidden="false" customHeight="false" outlineLevel="0" collapsed="false">
      <c r="A796" s="11"/>
      <c r="B796" s="11"/>
      <c r="C796" s="11"/>
      <c r="D796" s="11"/>
      <c r="E796" s="11"/>
      <c r="F796" s="11"/>
      <c r="G796" s="11"/>
      <c r="H796" s="11"/>
      <c r="I796" s="11"/>
      <c r="J796" s="15"/>
      <c r="K796" s="15"/>
      <c r="L796" s="11"/>
      <c r="M796" s="11"/>
      <c r="N796" s="17" t="str">
        <f aca="false">IF(OR(J796="",K796="",J796=0),"",(J796-K796)/J796)</f>
        <v/>
      </c>
      <c r="O796" s="11"/>
    </row>
    <row r="797" customFormat="false" ht="15" hidden="false" customHeight="false" outlineLevel="0" collapsed="false">
      <c r="A797" s="11"/>
      <c r="B797" s="11"/>
      <c r="C797" s="11"/>
      <c r="D797" s="11"/>
      <c r="E797" s="11"/>
      <c r="F797" s="11"/>
      <c r="G797" s="11"/>
      <c r="H797" s="11"/>
      <c r="I797" s="11"/>
      <c r="J797" s="15"/>
      <c r="K797" s="15"/>
      <c r="L797" s="11"/>
      <c r="M797" s="11"/>
      <c r="N797" s="17" t="str">
        <f aca="false">IF(OR(J797="",K797="",J797=0),"",(J797-K797)/J797)</f>
        <v/>
      </c>
      <c r="O797" s="11"/>
    </row>
    <row r="798" customFormat="false" ht="15" hidden="false" customHeight="false" outlineLevel="0" collapsed="false">
      <c r="A798" s="11"/>
      <c r="B798" s="11"/>
      <c r="C798" s="11"/>
      <c r="D798" s="11"/>
      <c r="E798" s="11"/>
      <c r="F798" s="11"/>
      <c r="G798" s="11"/>
      <c r="H798" s="11"/>
      <c r="I798" s="11"/>
      <c r="J798" s="15"/>
      <c r="K798" s="15"/>
      <c r="L798" s="11"/>
      <c r="M798" s="11"/>
      <c r="N798" s="17" t="str">
        <f aca="false">IF(OR(J798="",K798="",J798=0),"",(J798-K798)/J798)</f>
        <v/>
      </c>
      <c r="O798" s="11"/>
    </row>
    <row r="799" customFormat="false" ht="15" hidden="false" customHeight="false" outlineLevel="0" collapsed="false">
      <c r="A799" s="11"/>
      <c r="B799" s="11"/>
      <c r="C799" s="11"/>
      <c r="D799" s="11"/>
      <c r="E799" s="11"/>
      <c r="F799" s="11"/>
      <c r="G799" s="11"/>
      <c r="H799" s="11"/>
      <c r="I799" s="11"/>
      <c r="J799" s="15"/>
      <c r="K799" s="15"/>
      <c r="L799" s="11"/>
      <c r="M799" s="11"/>
      <c r="N799" s="17" t="str">
        <f aca="false">IF(OR(J799="",K799="",J799=0),"",(J799-K799)/J799)</f>
        <v/>
      </c>
      <c r="O799" s="11"/>
    </row>
    <row r="800" customFormat="false" ht="15" hidden="false" customHeight="false" outlineLevel="0" collapsed="false">
      <c r="A800" s="11"/>
      <c r="B800" s="11"/>
      <c r="C800" s="11"/>
      <c r="D800" s="11"/>
      <c r="E800" s="11"/>
      <c r="F800" s="11"/>
      <c r="G800" s="11"/>
      <c r="H800" s="11"/>
      <c r="I800" s="11"/>
      <c r="J800" s="15"/>
      <c r="K800" s="15"/>
      <c r="L800" s="11"/>
      <c r="M800" s="11"/>
      <c r="N800" s="17" t="str">
        <f aca="false">IF(OR(J800="",K800="",J800=0),"",(J800-K800)/J800)</f>
        <v/>
      </c>
      <c r="O800" s="11"/>
    </row>
    <row r="801" customFormat="false" ht="15" hidden="false" customHeight="false" outlineLevel="0" collapsed="false">
      <c r="A801" s="11"/>
      <c r="B801" s="11"/>
      <c r="C801" s="11"/>
      <c r="D801" s="11"/>
      <c r="E801" s="11"/>
      <c r="F801" s="11"/>
      <c r="G801" s="11"/>
      <c r="H801" s="11"/>
      <c r="I801" s="11"/>
      <c r="J801" s="15"/>
      <c r="K801" s="15"/>
      <c r="L801" s="11"/>
      <c r="M801" s="11"/>
      <c r="N801" s="17" t="str">
        <f aca="false">IF(OR(J801="",K801="",J801=0),"",(J801-K801)/J801)</f>
        <v/>
      </c>
      <c r="O801" s="11"/>
    </row>
    <row r="802" customFormat="false" ht="15" hidden="false" customHeight="false" outlineLevel="0" collapsed="false">
      <c r="A802" s="11"/>
      <c r="B802" s="11"/>
      <c r="C802" s="11"/>
      <c r="D802" s="11"/>
      <c r="E802" s="11"/>
      <c r="F802" s="11"/>
      <c r="G802" s="11"/>
      <c r="H802" s="11"/>
      <c r="I802" s="11"/>
      <c r="J802" s="15"/>
      <c r="K802" s="15"/>
      <c r="L802" s="11"/>
      <c r="M802" s="11"/>
      <c r="N802" s="17" t="str">
        <f aca="false">IF(OR(J802="",K802="",J802=0),"",(J802-K802)/J802)</f>
        <v/>
      </c>
      <c r="O802" s="11"/>
    </row>
    <row r="803" customFormat="false" ht="15" hidden="false" customHeight="false" outlineLevel="0" collapsed="false">
      <c r="A803" s="11"/>
      <c r="B803" s="11"/>
      <c r="C803" s="11"/>
      <c r="D803" s="11"/>
      <c r="E803" s="11"/>
      <c r="F803" s="11"/>
      <c r="G803" s="11"/>
      <c r="H803" s="11"/>
      <c r="I803" s="11"/>
      <c r="J803" s="15"/>
      <c r="K803" s="15"/>
      <c r="L803" s="11"/>
      <c r="M803" s="11"/>
      <c r="N803" s="17" t="str">
        <f aca="false">IF(OR(J803="",K803="",J803=0),"",(J803-K803)/J803)</f>
        <v/>
      </c>
      <c r="O803" s="11"/>
    </row>
    <row r="804" customFormat="false" ht="15" hidden="false" customHeight="false" outlineLevel="0" collapsed="false">
      <c r="A804" s="11"/>
      <c r="B804" s="11"/>
      <c r="C804" s="11"/>
      <c r="D804" s="11"/>
      <c r="E804" s="11"/>
      <c r="F804" s="11"/>
      <c r="G804" s="11"/>
      <c r="H804" s="11"/>
      <c r="I804" s="11"/>
      <c r="J804" s="15"/>
      <c r="K804" s="15"/>
      <c r="L804" s="11"/>
      <c r="M804" s="11"/>
      <c r="N804" s="17" t="str">
        <f aca="false">IF(OR(J804="",K804="",J804=0),"",(J804-K804)/J804)</f>
        <v/>
      </c>
      <c r="O804" s="11"/>
    </row>
    <row r="805" customFormat="false" ht="15" hidden="false" customHeight="false" outlineLevel="0" collapsed="false">
      <c r="A805" s="11"/>
      <c r="B805" s="11"/>
      <c r="C805" s="11"/>
      <c r="D805" s="11"/>
      <c r="E805" s="11"/>
      <c r="F805" s="11"/>
      <c r="G805" s="11"/>
      <c r="H805" s="11"/>
      <c r="I805" s="11"/>
      <c r="J805" s="15"/>
      <c r="K805" s="15"/>
      <c r="L805" s="11"/>
      <c r="M805" s="11"/>
      <c r="N805" s="17" t="str">
        <f aca="false">IF(OR(J805="",K805="",J805=0),"",(J805-K805)/J805)</f>
        <v/>
      </c>
      <c r="O805" s="11"/>
    </row>
    <row r="806" customFormat="false" ht="15" hidden="false" customHeight="false" outlineLevel="0" collapsed="false">
      <c r="A806" s="11"/>
      <c r="B806" s="11"/>
      <c r="C806" s="11"/>
      <c r="D806" s="11"/>
      <c r="E806" s="11"/>
      <c r="F806" s="11"/>
      <c r="G806" s="11"/>
      <c r="H806" s="11"/>
      <c r="I806" s="11"/>
      <c r="J806" s="15"/>
      <c r="K806" s="15"/>
      <c r="L806" s="11"/>
      <c r="M806" s="11"/>
      <c r="N806" s="17" t="str">
        <f aca="false">IF(OR(J806="",K806="",J806=0),"",(J806-K806)/J806)</f>
        <v/>
      </c>
      <c r="O806" s="11"/>
    </row>
    <row r="807" customFormat="false" ht="15" hidden="false" customHeight="false" outlineLevel="0" collapsed="false">
      <c r="A807" s="11"/>
      <c r="B807" s="11"/>
      <c r="C807" s="11"/>
      <c r="D807" s="11"/>
      <c r="E807" s="11"/>
      <c r="F807" s="11"/>
      <c r="G807" s="11"/>
      <c r="H807" s="11"/>
      <c r="I807" s="11"/>
      <c r="J807" s="15"/>
      <c r="K807" s="15"/>
      <c r="L807" s="11"/>
      <c r="M807" s="11"/>
      <c r="N807" s="17" t="str">
        <f aca="false">IF(OR(J807="",K807="",J807=0),"",(J807-K807)/J807)</f>
        <v/>
      </c>
      <c r="O807" s="11"/>
    </row>
    <row r="808" customFormat="false" ht="15" hidden="false" customHeight="false" outlineLevel="0" collapsed="false">
      <c r="A808" s="11"/>
      <c r="B808" s="11"/>
      <c r="C808" s="11"/>
      <c r="D808" s="11"/>
      <c r="E808" s="11"/>
      <c r="F808" s="11"/>
      <c r="G808" s="11"/>
      <c r="H808" s="11"/>
      <c r="I808" s="11"/>
      <c r="J808" s="15"/>
      <c r="K808" s="15"/>
      <c r="L808" s="11"/>
      <c r="M808" s="11"/>
      <c r="N808" s="17" t="str">
        <f aca="false">IF(OR(J808="",K808="",J808=0),"",(J808-K808)/J808)</f>
        <v/>
      </c>
      <c r="O808" s="11"/>
    </row>
    <row r="809" customFormat="false" ht="15" hidden="false" customHeight="false" outlineLevel="0" collapsed="false">
      <c r="A809" s="11"/>
      <c r="B809" s="11"/>
      <c r="C809" s="11"/>
      <c r="D809" s="11"/>
      <c r="E809" s="11"/>
      <c r="F809" s="11"/>
      <c r="G809" s="11"/>
      <c r="H809" s="11"/>
      <c r="I809" s="11"/>
      <c r="J809" s="15"/>
      <c r="K809" s="15"/>
      <c r="L809" s="11"/>
      <c r="M809" s="11"/>
      <c r="N809" s="17" t="str">
        <f aca="false">IF(OR(J809="",K809="",J809=0),"",(J809-K809)/J809)</f>
        <v/>
      </c>
      <c r="O809" s="11"/>
    </row>
    <row r="810" customFormat="false" ht="15" hidden="false" customHeight="false" outlineLevel="0" collapsed="false">
      <c r="A810" s="11"/>
      <c r="B810" s="11"/>
      <c r="C810" s="11"/>
      <c r="D810" s="11"/>
      <c r="E810" s="11"/>
      <c r="F810" s="11"/>
      <c r="G810" s="11"/>
      <c r="H810" s="11"/>
      <c r="I810" s="11"/>
      <c r="J810" s="15"/>
      <c r="K810" s="15"/>
      <c r="L810" s="11"/>
      <c r="M810" s="11"/>
      <c r="N810" s="17" t="str">
        <f aca="false">IF(OR(J810="",K810="",J810=0),"",(J810-K810)/J810)</f>
        <v/>
      </c>
      <c r="O810" s="11"/>
    </row>
    <row r="811" customFormat="false" ht="15" hidden="false" customHeight="false" outlineLevel="0" collapsed="false">
      <c r="A811" s="11"/>
      <c r="B811" s="11"/>
      <c r="C811" s="11"/>
      <c r="D811" s="11"/>
      <c r="E811" s="11"/>
      <c r="F811" s="11"/>
      <c r="G811" s="11"/>
      <c r="H811" s="11"/>
      <c r="I811" s="11"/>
      <c r="J811" s="15"/>
      <c r="K811" s="15"/>
      <c r="L811" s="11"/>
      <c r="M811" s="11"/>
      <c r="N811" s="17" t="str">
        <f aca="false">IF(OR(J811="",K811="",J811=0),"",(J811-K811)/J811)</f>
        <v/>
      </c>
      <c r="O811" s="11"/>
    </row>
    <row r="812" customFormat="false" ht="15" hidden="false" customHeight="false" outlineLevel="0" collapsed="false">
      <c r="A812" s="11"/>
      <c r="B812" s="11"/>
      <c r="C812" s="11"/>
      <c r="D812" s="11"/>
      <c r="E812" s="11"/>
      <c r="F812" s="11"/>
      <c r="G812" s="11"/>
      <c r="H812" s="11"/>
      <c r="I812" s="11"/>
      <c r="J812" s="15"/>
      <c r="K812" s="15"/>
      <c r="L812" s="11"/>
      <c r="M812" s="11"/>
      <c r="N812" s="17" t="str">
        <f aca="false">IF(OR(J812="",K812="",J812=0),"",(J812-K812)/J812)</f>
        <v/>
      </c>
      <c r="O812" s="11"/>
    </row>
    <row r="813" customFormat="false" ht="15" hidden="false" customHeight="false" outlineLevel="0" collapsed="false">
      <c r="A813" s="11"/>
      <c r="B813" s="11"/>
      <c r="C813" s="11"/>
      <c r="D813" s="11"/>
      <c r="E813" s="11"/>
      <c r="F813" s="11"/>
      <c r="G813" s="11"/>
      <c r="H813" s="11"/>
      <c r="I813" s="11"/>
      <c r="J813" s="15"/>
      <c r="K813" s="15"/>
      <c r="L813" s="11"/>
      <c r="M813" s="11"/>
      <c r="N813" s="17" t="str">
        <f aca="false">IF(OR(J813="",K813="",J813=0),"",(J813-K813)/J813)</f>
        <v/>
      </c>
      <c r="O813" s="11"/>
    </row>
    <row r="814" customFormat="false" ht="15" hidden="false" customHeight="false" outlineLevel="0" collapsed="false">
      <c r="A814" s="11"/>
      <c r="B814" s="11"/>
      <c r="C814" s="11"/>
      <c r="D814" s="11"/>
      <c r="E814" s="11"/>
      <c r="F814" s="11"/>
      <c r="G814" s="11"/>
      <c r="H814" s="11"/>
      <c r="I814" s="11"/>
      <c r="J814" s="15"/>
      <c r="K814" s="15"/>
      <c r="L814" s="11"/>
      <c r="M814" s="11"/>
      <c r="N814" s="17" t="str">
        <f aca="false">IF(OR(J814="",K814="",J814=0),"",(J814-K814)/J814)</f>
        <v/>
      </c>
      <c r="O814" s="11"/>
    </row>
    <row r="815" customFormat="false" ht="15" hidden="false" customHeight="false" outlineLevel="0" collapsed="false">
      <c r="A815" s="11"/>
      <c r="B815" s="11"/>
      <c r="C815" s="11"/>
      <c r="D815" s="11"/>
      <c r="E815" s="11"/>
      <c r="F815" s="11"/>
      <c r="G815" s="11"/>
      <c r="H815" s="11"/>
      <c r="I815" s="11"/>
      <c r="J815" s="15"/>
      <c r="K815" s="15"/>
      <c r="L815" s="11"/>
      <c r="M815" s="11"/>
      <c r="N815" s="17" t="str">
        <f aca="false">IF(OR(J815="",K815="",J815=0),"",(J815-K815)/J815)</f>
        <v/>
      </c>
      <c r="O815" s="11"/>
    </row>
    <row r="816" customFormat="false" ht="15" hidden="false" customHeight="false" outlineLevel="0" collapsed="false">
      <c r="A816" s="11"/>
      <c r="B816" s="11"/>
      <c r="C816" s="11"/>
      <c r="D816" s="11"/>
      <c r="E816" s="11"/>
      <c r="F816" s="11"/>
      <c r="G816" s="11"/>
      <c r="H816" s="11"/>
      <c r="I816" s="11"/>
      <c r="J816" s="15"/>
      <c r="K816" s="15"/>
      <c r="L816" s="11"/>
      <c r="M816" s="11"/>
      <c r="N816" s="17" t="str">
        <f aca="false">IF(OR(J816="",K816="",J816=0),"",(J816-K816)/J816)</f>
        <v/>
      </c>
      <c r="O816" s="11"/>
    </row>
    <row r="817" customFormat="false" ht="15" hidden="false" customHeight="false" outlineLevel="0" collapsed="false">
      <c r="A817" s="11"/>
      <c r="B817" s="11"/>
      <c r="C817" s="11"/>
      <c r="D817" s="11"/>
      <c r="E817" s="11"/>
      <c r="F817" s="11"/>
      <c r="G817" s="11"/>
      <c r="H817" s="11"/>
      <c r="I817" s="11"/>
      <c r="J817" s="15"/>
      <c r="K817" s="15"/>
      <c r="L817" s="11"/>
      <c r="M817" s="11"/>
      <c r="N817" s="17" t="str">
        <f aca="false">IF(OR(J817="",K817="",J817=0),"",(J817-K817)/J817)</f>
        <v/>
      </c>
      <c r="O817" s="11"/>
    </row>
    <row r="818" customFormat="false" ht="15" hidden="false" customHeight="false" outlineLevel="0" collapsed="false">
      <c r="A818" s="11"/>
      <c r="B818" s="11"/>
      <c r="C818" s="11"/>
      <c r="D818" s="11"/>
      <c r="E818" s="11"/>
      <c r="F818" s="11"/>
      <c r="G818" s="11"/>
      <c r="H818" s="11"/>
      <c r="I818" s="11"/>
      <c r="J818" s="15"/>
      <c r="K818" s="15"/>
      <c r="L818" s="11"/>
      <c r="M818" s="11"/>
      <c r="N818" s="17" t="str">
        <f aca="false">IF(OR(J818="",K818="",J818=0),"",(J818-K818)/J818)</f>
        <v/>
      </c>
      <c r="O818" s="11"/>
    </row>
    <row r="819" customFormat="false" ht="15" hidden="false" customHeight="false" outlineLevel="0" collapsed="false">
      <c r="A819" s="11"/>
      <c r="B819" s="11"/>
      <c r="C819" s="11"/>
      <c r="D819" s="11"/>
      <c r="E819" s="11"/>
      <c r="F819" s="11"/>
      <c r="G819" s="11"/>
      <c r="H819" s="11"/>
      <c r="I819" s="11"/>
      <c r="J819" s="15"/>
      <c r="K819" s="15"/>
      <c r="L819" s="11"/>
      <c r="M819" s="11"/>
      <c r="N819" s="17" t="str">
        <f aca="false">IF(OR(J819="",K819="",J819=0),"",(J819-K819)/J819)</f>
        <v/>
      </c>
      <c r="O819" s="11"/>
    </row>
    <row r="820" customFormat="false" ht="15" hidden="false" customHeight="false" outlineLevel="0" collapsed="false">
      <c r="A820" s="11"/>
      <c r="B820" s="11"/>
      <c r="C820" s="11"/>
      <c r="D820" s="11"/>
      <c r="E820" s="11"/>
      <c r="F820" s="11"/>
      <c r="G820" s="11"/>
      <c r="H820" s="11"/>
      <c r="I820" s="11"/>
      <c r="J820" s="15"/>
      <c r="K820" s="15"/>
      <c r="L820" s="11"/>
      <c r="M820" s="11"/>
      <c r="N820" s="17" t="str">
        <f aca="false">IF(OR(J820="",K820="",J820=0),"",(J820-K820)/J820)</f>
        <v/>
      </c>
      <c r="O820" s="11"/>
    </row>
    <row r="821" customFormat="false" ht="15" hidden="false" customHeight="false" outlineLevel="0" collapsed="false">
      <c r="A821" s="11"/>
      <c r="B821" s="11"/>
      <c r="C821" s="11"/>
      <c r="D821" s="11"/>
      <c r="E821" s="11"/>
      <c r="F821" s="11"/>
      <c r="G821" s="11"/>
      <c r="H821" s="11"/>
      <c r="I821" s="11"/>
      <c r="J821" s="15"/>
      <c r="K821" s="15"/>
      <c r="L821" s="11"/>
      <c r="M821" s="11"/>
      <c r="N821" s="17" t="str">
        <f aca="false">IF(OR(J821="",K821="",J821=0),"",(J821-K821)/J821)</f>
        <v/>
      </c>
      <c r="O821" s="11"/>
    </row>
    <row r="822" customFormat="false" ht="15" hidden="false" customHeight="false" outlineLevel="0" collapsed="false">
      <c r="A822" s="11"/>
      <c r="B822" s="11"/>
      <c r="C822" s="11"/>
      <c r="D822" s="11"/>
      <c r="E822" s="11"/>
      <c r="F822" s="11"/>
      <c r="G822" s="11"/>
      <c r="H822" s="11"/>
      <c r="I822" s="11"/>
      <c r="J822" s="15"/>
      <c r="K822" s="15"/>
      <c r="L822" s="11"/>
      <c r="M822" s="11"/>
      <c r="N822" s="17" t="str">
        <f aca="false">IF(OR(J822="",K822="",J822=0),"",(J822-K822)/J822)</f>
        <v/>
      </c>
      <c r="O822" s="11"/>
    </row>
    <row r="823" customFormat="false" ht="15" hidden="false" customHeight="false" outlineLevel="0" collapsed="false">
      <c r="A823" s="11"/>
      <c r="B823" s="11"/>
      <c r="C823" s="11"/>
      <c r="D823" s="11"/>
      <c r="E823" s="11"/>
      <c r="F823" s="11"/>
      <c r="G823" s="11"/>
      <c r="H823" s="11"/>
      <c r="I823" s="11"/>
      <c r="J823" s="15"/>
      <c r="K823" s="15"/>
      <c r="L823" s="11"/>
      <c r="M823" s="11"/>
      <c r="N823" s="17" t="str">
        <f aca="false">IF(OR(J823="",K823="",J823=0),"",(J823-K823)/J823)</f>
        <v/>
      </c>
      <c r="O823" s="11"/>
    </row>
    <row r="824" customFormat="false" ht="15" hidden="false" customHeight="false" outlineLevel="0" collapsed="false">
      <c r="A824" s="11"/>
      <c r="B824" s="11"/>
      <c r="C824" s="11"/>
      <c r="D824" s="11"/>
      <c r="E824" s="11"/>
      <c r="F824" s="11"/>
      <c r="G824" s="11"/>
      <c r="H824" s="11"/>
      <c r="I824" s="11"/>
      <c r="J824" s="15"/>
      <c r="K824" s="15"/>
      <c r="L824" s="11"/>
      <c r="M824" s="11"/>
      <c r="N824" s="17" t="str">
        <f aca="false">IF(OR(J824="",K824="",J824=0),"",(J824-K824)/J824)</f>
        <v/>
      </c>
      <c r="O824" s="11"/>
    </row>
    <row r="825" customFormat="false" ht="15" hidden="false" customHeight="false" outlineLevel="0" collapsed="false">
      <c r="A825" s="11"/>
      <c r="B825" s="11"/>
      <c r="C825" s="11"/>
      <c r="D825" s="11"/>
      <c r="E825" s="11"/>
      <c r="F825" s="11"/>
      <c r="G825" s="11"/>
      <c r="H825" s="11"/>
      <c r="I825" s="11"/>
      <c r="J825" s="15"/>
      <c r="K825" s="15"/>
      <c r="L825" s="11"/>
      <c r="M825" s="11"/>
      <c r="N825" s="17" t="str">
        <f aca="false">IF(OR(J825="",K825="",J825=0),"",(J825-K825)/J825)</f>
        <v/>
      </c>
      <c r="O825" s="11"/>
    </row>
    <row r="826" customFormat="false" ht="15" hidden="false" customHeight="false" outlineLevel="0" collapsed="false">
      <c r="A826" s="11"/>
      <c r="B826" s="11"/>
      <c r="C826" s="11"/>
      <c r="D826" s="11"/>
      <c r="E826" s="11"/>
      <c r="F826" s="11"/>
      <c r="G826" s="11"/>
      <c r="H826" s="11"/>
      <c r="I826" s="11"/>
      <c r="J826" s="15"/>
      <c r="K826" s="15"/>
      <c r="L826" s="11"/>
      <c r="M826" s="11"/>
      <c r="N826" s="17" t="str">
        <f aca="false">IF(OR(J826="",K826="",J826=0),"",(J826-K826)/J826)</f>
        <v/>
      </c>
      <c r="O826" s="11"/>
    </row>
    <row r="827" customFormat="false" ht="15" hidden="false" customHeight="false" outlineLevel="0" collapsed="false">
      <c r="A827" s="11"/>
      <c r="B827" s="11"/>
      <c r="C827" s="11"/>
      <c r="D827" s="11"/>
      <c r="E827" s="11"/>
      <c r="F827" s="11"/>
      <c r="G827" s="11"/>
      <c r="H827" s="11"/>
      <c r="I827" s="11"/>
      <c r="J827" s="15"/>
      <c r="K827" s="15"/>
      <c r="L827" s="11"/>
      <c r="M827" s="11"/>
      <c r="N827" s="17" t="str">
        <f aca="false">IF(OR(J827="",K827="",J827=0),"",(J827-K827)/J827)</f>
        <v/>
      </c>
      <c r="O827" s="11"/>
    </row>
    <row r="828" customFormat="false" ht="15" hidden="false" customHeight="false" outlineLevel="0" collapsed="false">
      <c r="A828" s="11"/>
      <c r="B828" s="11"/>
      <c r="C828" s="11"/>
      <c r="D828" s="11"/>
      <c r="E828" s="11"/>
      <c r="F828" s="11"/>
      <c r="G828" s="11"/>
      <c r="H828" s="11"/>
      <c r="I828" s="11"/>
      <c r="J828" s="15"/>
      <c r="K828" s="15"/>
      <c r="L828" s="11"/>
      <c r="M828" s="11"/>
      <c r="N828" s="17" t="str">
        <f aca="false">IF(OR(J828="",K828="",J828=0),"",(J828-K828)/J828)</f>
        <v/>
      </c>
      <c r="O828" s="11"/>
    </row>
    <row r="829" customFormat="false" ht="15" hidden="false" customHeight="false" outlineLevel="0" collapsed="false">
      <c r="A829" s="11"/>
      <c r="B829" s="11"/>
      <c r="C829" s="11"/>
      <c r="D829" s="11"/>
      <c r="E829" s="11"/>
      <c r="F829" s="11"/>
      <c r="G829" s="11"/>
      <c r="H829" s="11"/>
      <c r="I829" s="11"/>
      <c r="J829" s="15"/>
      <c r="K829" s="15"/>
      <c r="L829" s="11"/>
      <c r="M829" s="11"/>
      <c r="N829" s="17" t="str">
        <f aca="false">IF(OR(J829="",K829="",J829=0),"",(J829-K829)/J829)</f>
        <v/>
      </c>
      <c r="O829" s="11"/>
    </row>
    <row r="830" customFormat="false" ht="15" hidden="false" customHeight="false" outlineLevel="0" collapsed="false">
      <c r="A830" s="11"/>
      <c r="B830" s="11"/>
      <c r="C830" s="11"/>
      <c r="D830" s="11"/>
      <c r="E830" s="11"/>
      <c r="F830" s="11"/>
      <c r="G830" s="11"/>
      <c r="H830" s="11"/>
      <c r="I830" s="11"/>
      <c r="J830" s="15"/>
      <c r="K830" s="15"/>
      <c r="L830" s="11"/>
      <c r="M830" s="11"/>
      <c r="N830" s="17" t="str">
        <f aca="false">IF(OR(J830="",K830="",J830=0),"",(J830-K830)/J830)</f>
        <v/>
      </c>
      <c r="O830" s="11"/>
    </row>
    <row r="831" customFormat="false" ht="15" hidden="false" customHeight="false" outlineLevel="0" collapsed="false">
      <c r="A831" s="11"/>
      <c r="B831" s="11"/>
      <c r="C831" s="11"/>
      <c r="D831" s="11"/>
      <c r="E831" s="11"/>
      <c r="F831" s="11"/>
      <c r="G831" s="11"/>
      <c r="H831" s="11"/>
      <c r="I831" s="11"/>
      <c r="J831" s="15"/>
      <c r="K831" s="15"/>
      <c r="L831" s="11"/>
      <c r="M831" s="11"/>
      <c r="N831" s="17" t="str">
        <f aca="false">IF(OR(J831="",K831="",J831=0),"",(J831-K831)/J831)</f>
        <v/>
      </c>
      <c r="O831" s="11"/>
    </row>
    <row r="832" customFormat="false" ht="15" hidden="false" customHeight="false" outlineLevel="0" collapsed="false">
      <c r="A832" s="11"/>
      <c r="B832" s="11"/>
      <c r="C832" s="11"/>
      <c r="D832" s="11"/>
      <c r="E832" s="11"/>
      <c r="F832" s="11"/>
      <c r="G832" s="11"/>
      <c r="H832" s="11"/>
      <c r="I832" s="11"/>
      <c r="J832" s="15"/>
      <c r="K832" s="15"/>
      <c r="L832" s="11"/>
      <c r="M832" s="11"/>
      <c r="N832" s="17" t="str">
        <f aca="false">IF(OR(J832="",K832="",J832=0),"",(J832-K832)/J832)</f>
        <v/>
      </c>
      <c r="O832" s="11"/>
    </row>
    <row r="833" customFormat="false" ht="15" hidden="false" customHeight="false" outlineLevel="0" collapsed="false">
      <c r="A833" s="11"/>
      <c r="B833" s="11"/>
      <c r="C833" s="11"/>
      <c r="D833" s="11"/>
      <c r="E833" s="11"/>
      <c r="F833" s="11"/>
      <c r="G833" s="11"/>
      <c r="H833" s="11"/>
      <c r="I833" s="11"/>
      <c r="J833" s="15"/>
      <c r="K833" s="15"/>
      <c r="L833" s="11"/>
      <c r="M833" s="11"/>
      <c r="N833" s="17" t="str">
        <f aca="false">IF(OR(J833="",K833="",J833=0),"",(J833-K833)/J833)</f>
        <v/>
      </c>
      <c r="O833" s="11"/>
    </row>
    <row r="834" customFormat="false" ht="15" hidden="false" customHeight="false" outlineLevel="0" collapsed="false">
      <c r="A834" s="11"/>
      <c r="B834" s="11"/>
      <c r="C834" s="11"/>
      <c r="D834" s="11"/>
      <c r="E834" s="11"/>
      <c r="F834" s="11"/>
      <c r="G834" s="11"/>
      <c r="H834" s="11"/>
      <c r="I834" s="11"/>
      <c r="J834" s="15"/>
      <c r="K834" s="15"/>
      <c r="L834" s="11"/>
      <c r="M834" s="11"/>
      <c r="N834" s="17" t="str">
        <f aca="false">IF(OR(J834="",K834="",J834=0),"",(J834-K834)/J834)</f>
        <v/>
      </c>
      <c r="O834" s="11"/>
    </row>
    <row r="835" customFormat="false" ht="15" hidden="false" customHeight="false" outlineLevel="0" collapsed="false">
      <c r="A835" s="11"/>
      <c r="B835" s="11"/>
      <c r="C835" s="11"/>
      <c r="D835" s="11"/>
      <c r="E835" s="11"/>
      <c r="F835" s="11"/>
      <c r="G835" s="11"/>
      <c r="H835" s="11"/>
      <c r="I835" s="11"/>
      <c r="J835" s="15"/>
      <c r="K835" s="15"/>
      <c r="L835" s="11"/>
      <c r="M835" s="11"/>
      <c r="N835" s="17" t="str">
        <f aca="false">IF(OR(J835="",K835="",J835=0),"",(J835-K835)/J835)</f>
        <v/>
      </c>
      <c r="O835" s="11"/>
    </row>
    <row r="836" customFormat="false" ht="15" hidden="false" customHeight="false" outlineLevel="0" collapsed="false">
      <c r="A836" s="11"/>
      <c r="B836" s="11"/>
      <c r="C836" s="11"/>
      <c r="D836" s="11"/>
      <c r="E836" s="11"/>
      <c r="F836" s="11"/>
      <c r="G836" s="11"/>
      <c r="H836" s="11"/>
      <c r="I836" s="11"/>
      <c r="J836" s="15"/>
      <c r="K836" s="15"/>
      <c r="L836" s="11"/>
      <c r="M836" s="11"/>
      <c r="N836" s="17" t="str">
        <f aca="false">IF(OR(J836="",K836="",J836=0),"",(J836-K836)/J836)</f>
        <v/>
      </c>
      <c r="O836" s="11"/>
    </row>
    <row r="837" customFormat="false" ht="15" hidden="false" customHeight="false" outlineLevel="0" collapsed="false">
      <c r="A837" s="11"/>
      <c r="B837" s="11"/>
      <c r="C837" s="11"/>
      <c r="D837" s="11"/>
      <c r="E837" s="11"/>
      <c r="F837" s="11"/>
      <c r="G837" s="11"/>
      <c r="H837" s="11"/>
      <c r="I837" s="11"/>
      <c r="J837" s="15"/>
      <c r="K837" s="15"/>
      <c r="L837" s="11"/>
      <c r="M837" s="11"/>
      <c r="N837" s="17" t="str">
        <f aca="false">IF(OR(J837="",K837="",J837=0),"",(J837-K837)/J837)</f>
        <v/>
      </c>
      <c r="O837" s="11"/>
    </row>
    <row r="838" customFormat="false" ht="15" hidden="false" customHeight="false" outlineLevel="0" collapsed="false">
      <c r="A838" s="11"/>
      <c r="B838" s="11"/>
      <c r="C838" s="11"/>
      <c r="D838" s="11"/>
      <c r="E838" s="11"/>
      <c r="F838" s="11"/>
      <c r="G838" s="11"/>
      <c r="H838" s="11"/>
      <c r="I838" s="11"/>
      <c r="J838" s="15"/>
      <c r="K838" s="15"/>
      <c r="L838" s="11"/>
      <c r="M838" s="11"/>
      <c r="N838" s="17" t="str">
        <f aca="false">IF(OR(J838="",K838="",J838=0),"",(J838-K838)/J838)</f>
        <v/>
      </c>
      <c r="O838" s="11"/>
    </row>
    <row r="839" customFormat="false" ht="15" hidden="false" customHeight="false" outlineLevel="0" collapsed="false">
      <c r="A839" s="11"/>
      <c r="B839" s="11"/>
      <c r="C839" s="11"/>
      <c r="D839" s="11"/>
      <c r="E839" s="11"/>
      <c r="F839" s="11"/>
      <c r="G839" s="11"/>
      <c r="H839" s="11"/>
      <c r="I839" s="11"/>
      <c r="J839" s="15"/>
      <c r="K839" s="15"/>
      <c r="L839" s="11"/>
      <c r="M839" s="11"/>
      <c r="N839" s="17" t="str">
        <f aca="false">IF(OR(J839="",K839="",J839=0),"",(J839-K839)/J839)</f>
        <v/>
      </c>
      <c r="O839" s="11"/>
    </row>
    <row r="840" customFormat="false" ht="15" hidden="false" customHeight="false" outlineLevel="0" collapsed="false">
      <c r="A840" s="11"/>
      <c r="B840" s="11"/>
      <c r="C840" s="11"/>
      <c r="D840" s="11"/>
      <c r="E840" s="11"/>
      <c r="F840" s="11"/>
      <c r="G840" s="11"/>
      <c r="H840" s="11"/>
      <c r="I840" s="11"/>
      <c r="J840" s="15"/>
      <c r="K840" s="15"/>
      <c r="L840" s="11"/>
      <c r="M840" s="11"/>
      <c r="N840" s="17" t="str">
        <f aca="false">IF(OR(J840="",K840="",J840=0),"",(J840-K840)/J840)</f>
        <v/>
      </c>
      <c r="O840" s="11"/>
    </row>
    <row r="841" customFormat="false" ht="15" hidden="false" customHeight="false" outlineLevel="0" collapsed="false">
      <c r="A841" s="11"/>
      <c r="B841" s="11"/>
      <c r="C841" s="11"/>
      <c r="D841" s="11"/>
      <c r="E841" s="11"/>
      <c r="F841" s="11"/>
      <c r="G841" s="11"/>
      <c r="H841" s="11"/>
      <c r="I841" s="11"/>
      <c r="J841" s="15"/>
      <c r="K841" s="15"/>
      <c r="L841" s="11"/>
      <c r="M841" s="11"/>
      <c r="N841" s="17" t="str">
        <f aca="false">IF(OR(J841="",K841="",J841=0),"",(J841-K841)/J841)</f>
        <v/>
      </c>
      <c r="O841" s="11"/>
    </row>
    <row r="842" customFormat="false" ht="15" hidden="false" customHeight="false" outlineLevel="0" collapsed="false">
      <c r="A842" s="11"/>
      <c r="B842" s="11"/>
      <c r="C842" s="11"/>
      <c r="D842" s="11"/>
      <c r="E842" s="11"/>
      <c r="F842" s="11"/>
      <c r="G842" s="11"/>
      <c r="H842" s="11"/>
      <c r="I842" s="11"/>
      <c r="J842" s="15"/>
      <c r="K842" s="15"/>
      <c r="L842" s="11"/>
      <c r="M842" s="11"/>
      <c r="N842" s="17" t="str">
        <f aca="false">IF(OR(J842="",K842="",J842=0),"",(J842-K842)/J842)</f>
        <v/>
      </c>
      <c r="O842" s="11"/>
    </row>
    <row r="843" customFormat="false" ht="15" hidden="false" customHeight="false" outlineLevel="0" collapsed="false">
      <c r="A843" s="11"/>
      <c r="B843" s="11"/>
      <c r="C843" s="11"/>
      <c r="D843" s="11"/>
      <c r="E843" s="11"/>
      <c r="F843" s="11"/>
      <c r="G843" s="11"/>
      <c r="H843" s="11"/>
      <c r="I843" s="11"/>
      <c r="J843" s="15"/>
      <c r="K843" s="15"/>
      <c r="L843" s="11"/>
      <c r="M843" s="11"/>
      <c r="N843" s="17" t="str">
        <f aca="false">IF(OR(J843="",K843="",J843=0),"",(J843-K843)/J843)</f>
        <v/>
      </c>
      <c r="O843" s="11"/>
    </row>
    <row r="844" customFormat="false" ht="15" hidden="false" customHeight="false" outlineLevel="0" collapsed="false">
      <c r="A844" s="11"/>
      <c r="B844" s="11"/>
      <c r="C844" s="11"/>
      <c r="D844" s="11"/>
      <c r="E844" s="11"/>
      <c r="F844" s="11"/>
      <c r="G844" s="11"/>
      <c r="H844" s="11"/>
      <c r="I844" s="11"/>
      <c r="J844" s="15"/>
      <c r="K844" s="15"/>
      <c r="L844" s="11"/>
      <c r="M844" s="11"/>
      <c r="N844" s="17" t="str">
        <f aca="false">IF(OR(J844="",K844="",J844=0),"",(J844-K844)/J844)</f>
        <v/>
      </c>
      <c r="O844" s="11"/>
    </row>
    <row r="845" customFormat="false" ht="15" hidden="false" customHeight="false" outlineLevel="0" collapsed="false">
      <c r="A845" s="11"/>
      <c r="B845" s="11"/>
      <c r="C845" s="11"/>
      <c r="D845" s="11"/>
      <c r="E845" s="11"/>
      <c r="F845" s="11"/>
      <c r="G845" s="11"/>
      <c r="H845" s="11"/>
      <c r="I845" s="11"/>
      <c r="J845" s="15"/>
      <c r="K845" s="15"/>
      <c r="L845" s="11"/>
      <c r="M845" s="11"/>
      <c r="N845" s="17" t="str">
        <f aca="false">IF(OR(J845="",K845="",J845=0),"",(J845-K845)/J845)</f>
        <v/>
      </c>
      <c r="O845" s="11"/>
    </row>
    <row r="846" customFormat="false" ht="15" hidden="false" customHeight="false" outlineLevel="0" collapsed="false">
      <c r="A846" s="11"/>
      <c r="B846" s="11"/>
      <c r="C846" s="11"/>
      <c r="D846" s="11"/>
      <c r="E846" s="11"/>
      <c r="F846" s="11"/>
      <c r="G846" s="11"/>
      <c r="H846" s="11"/>
      <c r="I846" s="11"/>
      <c r="J846" s="15"/>
      <c r="K846" s="15"/>
      <c r="L846" s="11"/>
      <c r="M846" s="11"/>
      <c r="N846" s="17" t="str">
        <f aca="false">IF(OR(J846="",K846="",J846=0),"",(J846-K846)/J846)</f>
        <v/>
      </c>
      <c r="O846" s="11"/>
    </row>
    <row r="847" customFormat="false" ht="15" hidden="false" customHeight="false" outlineLevel="0" collapsed="false">
      <c r="A847" s="11"/>
      <c r="B847" s="11"/>
      <c r="C847" s="11"/>
      <c r="D847" s="11"/>
      <c r="E847" s="11"/>
      <c r="F847" s="11"/>
      <c r="G847" s="11"/>
      <c r="H847" s="11"/>
      <c r="I847" s="11"/>
      <c r="J847" s="15"/>
      <c r="K847" s="15"/>
      <c r="L847" s="11"/>
      <c r="M847" s="11"/>
      <c r="N847" s="17" t="str">
        <f aca="false">IF(OR(J847="",K847="",J847=0),"",(J847-K847)/J847)</f>
        <v/>
      </c>
      <c r="O847" s="11"/>
    </row>
    <row r="848" customFormat="false" ht="15" hidden="false" customHeight="false" outlineLevel="0" collapsed="false">
      <c r="A848" s="11"/>
      <c r="B848" s="11"/>
      <c r="C848" s="11"/>
      <c r="D848" s="11"/>
      <c r="E848" s="11"/>
      <c r="F848" s="11"/>
      <c r="G848" s="11"/>
      <c r="H848" s="11"/>
      <c r="I848" s="11"/>
      <c r="J848" s="15"/>
      <c r="K848" s="15"/>
      <c r="L848" s="11"/>
      <c r="M848" s="11"/>
      <c r="N848" s="17" t="str">
        <f aca="false">IF(OR(J848="",K848="",J848=0),"",(J848-K848)/J848)</f>
        <v/>
      </c>
      <c r="O848" s="11"/>
    </row>
    <row r="849" customFormat="false" ht="15" hidden="false" customHeight="false" outlineLevel="0" collapsed="false">
      <c r="A849" s="11"/>
      <c r="B849" s="11"/>
      <c r="C849" s="11"/>
      <c r="D849" s="11"/>
      <c r="E849" s="11"/>
      <c r="F849" s="11"/>
      <c r="G849" s="11"/>
      <c r="H849" s="11"/>
      <c r="I849" s="11"/>
      <c r="J849" s="15"/>
      <c r="K849" s="15"/>
      <c r="L849" s="11"/>
      <c r="M849" s="11"/>
      <c r="N849" s="17" t="str">
        <f aca="false">IF(OR(J849="",K849="",J849=0),"",(J849-K849)/J849)</f>
        <v/>
      </c>
      <c r="O849" s="11"/>
    </row>
    <row r="850" customFormat="false" ht="15" hidden="false" customHeight="false" outlineLevel="0" collapsed="false">
      <c r="A850" s="11"/>
      <c r="B850" s="11"/>
      <c r="C850" s="11"/>
      <c r="D850" s="11"/>
      <c r="E850" s="11"/>
      <c r="F850" s="11"/>
      <c r="G850" s="11"/>
      <c r="H850" s="11"/>
      <c r="I850" s="11"/>
      <c r="J850" s="15"/>
      <c r="K850" s="15"/>
      <c r="L850" s="11"/>
      <c r="M850" s="11"/>
      <c r="N850" s="17" t="str">
        <f aca="false">IF(OR(J850="",K850="",J850=0),"",(J850-K850)/J850)</f>
        <v/>
      </c>
      <c r="O850" s="11"/>
    </row>
    <row r="851" customFormat="false" ht="15" hidden="false" customHeight="false" outlineLevel="0" collapsed="false">
      <c r="A851" s="11"/>
      <c r="B851" s="11"/>
      <c r="C851" s="11"/>
      <c r="D851" s="11"/>
      <c r="E851" s="11"/>
      <c r="F851" s="11"/>
      <c r="G851" s="11"/>
      <c r="H851" s="11"/>
      <c r="I851" s="11"/>
      <c r="J851" s="15"/>
      <c r="K851" s="15"/>
      <c r="L851" s="11"/>
      <c r="M851" s="11"/>
      <c r="N851" s="17" t="str">
        <f aca="false">IF(OR(J851="",K851="",J851=0),"",(J851-K851)/J851)</f>
        <v/>
      </c>
      <c r="O851" s="11"/>
    </row>
    <row r="852" customFormat="false" ht="15" hidden="false" customHeight="false" outlineLevel="0" collapsed="false">
      <c r="A852" s="11"/>
      <c r="B852" s="11"/>
      <c r="C852" s="11"/>
      <c r="D852" s="11"/>
      <c r="E852" s="11"/>
      <c r="F852" s="11"/>
      <c r="G852" s="11"/>
      <c r="H852" s="11"/>
      <c r="I852" s="11"/>
      <c r="J852" s="15"/>
      <c r="K852" s="15"/>
      <c r="L852" s="11"/>
      <c r="M852" s="11"/>
      <c r="N852" s="17" t="str">
        <f aca="false">IF(OR(J852="",K852="",J852=0),"",(J852-K852)/J852)</f>
        <v/>
      </c>
      <c r="O852" s="11"/>
    </row>
    <row r="853" customFormat="false" ht="15" hidden="false" customHeight="false" outlineLevel="0" collapsed="false">
      <c r="A853" s="11"/>
      <c r="B853" s="11"/>
      <c r="C853" s="11"/>
      <c r="D853" s="11"/>
      <c r="E853" s="11"/>
      <c r="F853" s="11"/>
      <c r="G853" s="11"/>
      <c r="H853" s="11"/>
      <c r="I853" s="11"/>
      <c r="J853" s="15"/>
      <c r="K853" s="15"/>
      <c r="L853" s="11"/>
      <c r="M853" s="11"/>
      <c r="N853" s="17" t="str">
        <f aca="false">IF(OR(J853="",K853="",J853=0),"",(J853-K853)/J853)</f>
        <v/>
      </c>
      <c r="O853" s="11"/>
    </row>
    <row r="854" customFormat="false" ht="15" hidden="false" customHeight="false" outlineLevel="0" collapsed="false">
      <c r="A854" s="11"/>
      <c r="B854" s="11"/>
      <c r="C854" s="11"/>
      <c r="D854" s="11"/>
      <c r="E854" s="11"/>
      <c r="F854" s="11"/>
      <c r="G854" s="11"/>
      <c r="H854" s="11"/>
      <c r="I854" s="11"/>
      <c r="J854" s="15"/>
      <c r="K854" s="15"/>
      <c r="L854" s="11"/>
      <c r="M854" s="11"/>
      <c r="N854" s="17" t="str">
        <f aca="false">IF(OR(J854="",K854="",J854=0),"",(J854-K854)/J854)</f>
        <v/>
      </c>
      <c r="O854" s="11"/>
    </row>
    <row r="855" customFormat="false" ht="15" hidden="false" customHeight="false" outlineLevel="0" collapsed="false">
      <c r="A855" s="11"/>
      <c r="B855" s="11"/>
      <c r="C855" s="11"/>
      <c r="D855" s="11"/>
      <c r="E855" s="11"/>
      <c r="F855" s="11"/>
      <c r="G855" s="11"/>
      <c r="H855" s="11"/>
      <c r="I855" s="11"/>
      <c r="J855" s="15"/>
      <c r="K855" s="15"/>
      <c r="L855" s="11"/>
      <c r="M855" s="11"/>
      <c r="N855" s="17" t="str">
        <f aca="false">IF(OR(J855="",K855="",J855=0),"",(J855-K855)/J855)</f>
        <v/>
      </c>
      <c r="O855" s="11"/>
    </row>
    <row r="856" customFormat="false" ht="15" hidden="false" customHeight="false" outlineLevel="0" collapsed="false">
      <c r="A856" s="11"/>
      <c r="B856" s="11"/>
      <c r="C856" s="11"/>
      <c r="D856" s="11"/>
      <c r="E856" s="11"/>
      <c r="F856" s="11"/>
      <c r="G856" s="11"/>
      <c r="H856" s="11"/>
      <c r="I856" s="11"/>
      <c r="J856" s="15"/>
      <c r="K856" s="15"/>
      <c r="L856" s="11"/>
      <c r="M856" s="11"/>
      <c r="N856" s="17" t="str">
        <f aca="false">IF(OR(J856="",K856="",J856=0),"",(J856-K856)/J856)</f>
        <v/>
      </c>
      <c r="O856" s="11"/>
    </row>
    <row r="857" customFormat="false" ht="15" hidden="false" customHeight="false" outlineLevel="0" collapsed="false">
      <c r="A857" s="11"/>
      <c r="B857" s="11"/>
      <c r="C857" s="11"/>
      <c r="D857" s="11"/>
      <c r="E857" s="11"/>
      <c r="F857" s="11"/>
      <c r="G857" s="11"/>
      <c r="H857" s="11"/>
      <c r="I857" s="11"/>
      <c r="J857" s="15"/>
      <c r="K857" s="15"/>
      <c r="L857" s="11"/>
      <c r="M857" s="11"/>
      <c r="N857" s="17" t="str">
        <f aca="false">IF(OR(J857="",K857="",J857=0),"",(J857-K857)/J857)</f>
        <v/>
      </c>
      <c r="O857" s="11"/>
    </row>
    <row r="858" customFormat="false" ht="15" hidden="false" customHeight="false" outlineLevel="0" collapsed="false">
      <c r="A858" s="11"/>
      <c r="B858" s="11"/>
      <c r="C858" s="11"/>
      <c r="D858" s="11"/>
      <c r="E858" s="11"/>
      <c r="F858" s="11"/>
      <c r="G858" s="11"/>
      <c r="H858" s="11"/>
      <c r="I858" s="11"/>
      <c r="J858" s="15"/>
      <c r="K858" s="15"/>
      <c r="L858" s="11"/>
      <c r="M858" s="11"/>
      <c r="N858" s="17" t="str">
        <f aca="false">IF(OR(J858="",K858="",J858=0),"",(J858-K858)/J858)</f>
        <v/>
      </c>
      <c r="O858" s="11"/>
    </row>
    <row r="859" customFormat="false" ht="15" hidden="false" customHeight="false" outlineLevel="0" collapsed="false">
      <c r="A859" s="11"/>
      <c r="B859" s="11"/>
      <c r="C859" s="11"/>
      <c r="D859" s="11"/>
      <c r="E859" s="11"/>
      <c r="F859" s="11"/>
      <c r="G859" s="11"/>
      <c r="H859" s="11"/>
      <c r="I859" s="11"/>
      <c r="J859" s="15"/>
      <c r="K859" s="15"/>
      <c r="L859" s="11"/>
      <c r="M859" s="11"/>
      <c r="N859" s="17" t="str">
        <f aca="false">IF(OR(J859="",K859="",J859=0),"",(J859-K859)/J859)</f>
        <v/>
      </c>
      <c r="O859" s="11"/>
    </row>
    <row r="860" customFormat="false" ht="15" hidden="false" customHeight="false" outlineLevel="0" collapsed="false">
      <c r="A860" s="11"/>
      <c r="B860" s="11"/>
      <c r="C860" s="11"/>
      <c r="D860" s="11"/>
      <c r="E860" s="11"/>
      <c r="F860" s="11"/>
      <c r="G860" s="11"/>
      <c r="H860" s="11"/>
      <c r="I860" s="11"/>
      <c r="J860" s="15"/>
      <c r="K860" s="15"/>
      <c r="L860" s="11"/>
      <c r="M860" s="11"/>
      <c r="N860" s="17" t="str">
        <f aca="false">IF(OR(J860="",K860="",J860=0),"",(J860-K860)/J860)</f>
        <v/>
      </c>
      <c r="O860" s="11"/>
    </row>
    <row r="861" customFormat="false" ht="15" hidden="false" customHeight="false" outlineLevel="0" collapsed="false">
      <c r="A861" s="11"/>
      <c r="B861" s="11"/>
      <c r="C861" s="11"/>
      <c r="D861" s="11"/>
      <c r="E861" s="11"/>
      <c r="F861" s="11"/>
      <c r="G861" s="11"/>
      <c r="H861" s="11"/>
      <c r="I861" s="11"/>
      <c r="J861" s="15"/>
      <c r="K861" s="15"/>
      <c r="L861" s="11"/>
      <c r="M861" s="11"/>
      <c r="N861" s="17" t="str">
        <f aca="false">IF(OR(J861="",K861="",J861=0),"",(J861-K861)/J861)</f>
        <v/>
      </c>
      <c r="O861" s="11"/>
    </row>
    <row r="862" customFormat="false" ht="15" hidden="false" customHeight="false" outlineLevel="0" collapsed="false">
      <c r="A862" s="11"/>
      <c r="B862" s="11"/>
      <c r="C862" s="11"/>
      <c r="D862" s="11"/>
      <c r="E862" s="11"/>
      <c r="F862" s="11"/>
      <c r="G862" s="11"/>
      <c r="H862" s="11"/>
      <c r="I862" s="11"/>
      <c r="J862" s="15"/>
      <c r="K862" s="15"/>
      <c r="L862" s="11"/>
      <c r="M862" s="11"/>
      <c r="N862" s="17" t="str">
        <f aca="false">IF(OR(J862="",K862="",J862=0),"",(J862-K862)/J862)</f>
        <v/>
      </c>
      <c r="O862" s="11"/>
    </row>
    <row r="863" customFormat="false" ht="15" hidden="false" customHeight="false" outlineLevel="0" collapsed="false">
      <c r="A863" s="11"/>
      <c r="B863" s="11"/>
      <c r="C863" s="11"/>
      <c r="D863" s="11"/>
      <c r="E863" s="11"/>
      <c r="F863" s="11"/>
      <c r="G863" s="11"/>
      <c r="H863" s="11"/>
      <c r="I863" s="11"/>
      <c r="J863" s="15"/>
      <c r="K863" s="15"/>
      <c r="L863" s="11"/>
      <c r="M863" s="11"/>
      <c r="N863" s="17" t="str">
        <f aca="false">IF(OR(J863="",K863="",J863=0),"",(J863-K863)/J863)</f>
        <v/>
      </c>
      <c r="O863" s="11"/>
    </row>
    <row r="864" customFormat="false" ht="15" hidden="false" customHeight="false" outlineLevel="0" collapsed="false">
      <c r="A864" s="11"/>
      <c r="B864" s="11"/>
      <c r="C864" s="11"/>
      <c r="D864" s="11"/>
      <c r="E864" s="11"/>
      <c r="F864" s="11"/>
      <c r="G864" s="11"/>
      <c r="H864" s="11"/>
      <c r="I864" s="11"/>
      <c r="J864" s="15"/>
      <c r="K864" s="15"/>
      <c r="L864" s="11"/>
      <c r="M864" s="11"/>
      <c r="N864" s="17" t="str">
        <f aca="false">IF(OR(J864="",K864="",J864=0),"",(J864-K864)/J864)</f>
        <v/>
      </c>
      <c r="O864" s="11"/>
    </row>
    <row r="865" customFormat="false" ht="15" hidden="false" customHeight="false" outlineLevel="0" collapsed="false">
      <c r="A865" s="11"/>
      <c r="B865" s="11"/>
      <c r="C865" s="11"/>
      <c r="D865" s="11"/>
      <c r="E865" s="11"/>
      <c r="F865" s="11"/>
      <c r="G865" s="11"/>
      <c r="H865" s="11"/>
      <c r="I865" s="11"/>
      <c r="J865" s="15"/>
      <c r="K865" s="15"/>
      <c r="L865" s="11"/>
      <c r="M865" s="11"/>
      <c r="N865" s="17" t="str">
        <f aca="false">IF(OR(J865="",K865="",J865=0),"",(J865-K865)/J865)</f>
        <v/>
      </c>
      <c r="O865" s="11"/>
    </row>
    <row r="866" customFormat="false" ht="15" hidden="false" customHeight="false" outlineLevel="0" collapsed="false">
      <c r="A866" s="11"/>
      <c r="B866" s="11"/>
      <c r="C866" s="11"/>
      <c r="D866" s="11"/>
      <c r="E866" s="11"/>
      <c r="F866" s="11"/>
      <c r="G866" s="11"/>
      <c r="H866" s="11"/>
      <c r="I866" s="11"/>
      <c r="J866" s="15"/>
      <c r="K866" s="15"/>
      <c r="L866" s="11"/>
      <c r="M866" s="11"/>
      <c r="N866" s="17" t="str">
        <f aca="false">IF(OR(J866="",K866="",J866=0),"",(J866-K866)/J866)</f>
        <v/>
      </c>
      <c r="O866" s="11"/>
    </row>
    <row r="867" customFormat="false" ht="15" hidden="false" customHeight="false" outlineLevel="0" collapsed="false">
      <c r="A867" s="11"/>
      <c r="B867" s="11"/>
      <c r="C867" s="11"/>
      <c r="D867" s="11"/>
      <c r="E867" s="11"/>
      <c r="F867" s="11"/>
      <c r="G867" s="11"/>
      <c r="H867" s="11"/>
      <c r="I867" s="11"/>
      <c r="J867" s="15"/>
      <c r="K867" s="15"/>
      <c r="L867" s="11"/>
      <c r="M867" s="11"/>
      <c r="N867" s="17" t="str">
        <f aca="false">IF(OR(J867="",K867="",J867=0),"",(J867-K867)/J867)</f>
        <v/>
      </c>
      <c r="O867" s="11"/>
    </row>
    <row r="868" customFormat="false" ht="15" hidden="false" customHeight="false" outlineLevel="0" collapsed="false">
      <c r="A868" s="11"/>
      <c r="B868" s="11"/>
      <c r="C868" s="11"/>
      <c r="D868" s="11"/>
      <c r="E868" s="11"/>
      <c r="F868" s="11"/>
      <c r="G868" s="11"/>
      <c r="H868" s="11"/>
      <c r="I868" s="11"/>
      <c r="J868" s="15"/>
      <c r="K868" s="15"/>
      <c r="L868" s="11"/>
      <c r="M868" s="11"/>
      <c r="N868" s="17" t="str">
        <f aca="false">IF(OR(J868="",K868="",J868=0),"",(J868-K868)/J868)</f>
        <v/>
      </c>
      <c r="O868" s="11"/>
    </row>
    <row r="869" customFormat="false" ht="15" hidden="false" customHeight="false" outlineLevel="0" collapsed="false">
      <c r="A869" s="11"/>
      <c r="B869" s="11"/>
      <c r="C869" s="11"/>
      <c r="D869" s="11"/>
      <c r="E869" s="11"/>
      <c r="F869" s="11"/>
      <c r="G869" s="11"/>
      <c r="H869" s="11"/>
      <c r="I869" s="11"/>
      <c r="J869" s="15"/>
      <c r="K869" s="15"/>
      <c r="L869" s="11"/>
      <c r="M869" s="11"/>
      <c r="N869" s="17" t="str">
        <f aca="false">IF(OR(J869="",K869="",J869=0),"",(J869-K869)/J869)</f>
        <v/>
      </c>
      <c r="O869" s="11"/>
    </row>
    <row r="870" customFormat="false" ht="15" hidden="false" customHeight="false" outlineLevel="0" collapsed="false">
      <c r="A870" s="11"/>
      <c r="B870" s="11"/>
      <c r="C870" s="11"/>
      <c r="D870" s="11"/>
      <c r="E870" s="11"/>
      <c r="F870" s="11"/>
      <c r="G870" s="11"/>
      <c r="H870" s="11"/>
      <c r="I870" s="11"/>
      <c r="J870" s="15"/>
      <c r="K870" s="15"/>
      <c r="L870" s="11"/>
      <c r="M870" s="11"/>
      <c r="N870" s="17" t="str">
        <f aca="false">IF(OR(J870="",K870="",J870=0),"",(J870-K870)/J870)</f>
        <v/>
      </c>
      <c r="O870" s="11"/>
    </row>
    <row r="871" customFormat="false" ht="15" hidden="false" customHeight="false" outlineLevel="0" collapsed="false">
      <c r="A871" s="11"/>
      <c r="B871" s="11"/>
      <c r="C871" s="11"/>
      <c r="D871" s="11"/>
      <c r="E871" s="11"/>
      <c r="F871" s="11"/>
      <c r="G871" s="11"/>
      <c r="H871" s="11"/>
      <c r="I871" s="11"/>
      <c r="J871" s="15"/>
      <c r="K871" s="15"/>
      <c r="L871" s="11"/>
      <c r="M871" s="11"/>
      <c r="N871" s="17" t="str">
        <f aca="false">IF(OR(J871="",K871="",J871=0),"",(J871-K871)/J871)</f>
        <v/>
      </c>
      <c r="O871" s="11"/>
    </row>
    <row r="872" customFormat="false" ht="15" hidden="false" customHeight="false" outlineLevel="0" collapsed="false">
      <c r="A872" s="11"/>
      <c r="B872" s="11"/>
      <c r="C872" s="11"/>
      <c r="D872" s="11"/>
      <c r="E872" s="11"/>
      <c r="F872" s="11"/>
      <c r="G872" s="11"/>
      <c r="H872" s="11"/>
      <c r="I872" s="11"/>
      <c r="J872" s="15"/>
      <c r="K872" s="15"/>
      <c r="L872" s="11"/>
      <c r="M872" s="11"/>
      <c r="N872" s="17" t="str">
        <f aca="false">IF(OR(J872="",K872="",J872=0),"",(J872-K872)/J872)</f>
        <v/>
      </c>
      <c r="O872" s="11"/>
    </row>
    <row r="873" customFormat="false" ht="15" hidden="false" customHeight="false" outlineLevel="0" collapsed="false">
      <c r="A873" s="11"/>
      <c r="B873" s="11"/>
      <c r="C873" s="11"/>
      <c r="D873" s="11"/>
      <c r="E873" s="11"/>
      <c r="F873" s="11"/>
      <c r="G873" s="11"/>
      <c r="H873" s="11"/>
      <c r="I873" s="11"/>
      <c r="J873" s="15"/>
      <c r="K873" s="15"/>
      <c r="L873" s="11"/>
      <c r="M873" s="11"/>
      <c r="N873" s="17" t="str">
        <f aca="false">IF(OR(J873="",K873="",J873=0),"",(J873-K873)/J873)</f>
        <v/>
      </c>
      <c r="O873" s="11"/>
    </row>
    <row r="874" customFormat="false" ht="15" hidden="false" customHeight="false" outlineLevel="0" collapsed="false">
      <c r="A874" s="11"/>
      <c r="B874" s="11"/>
      <c r="C874" s="11"/>
      <c r="D874" s="11"/>
      <c r="E874" s="11"/>
      <c r="F874" s="11"/>
      <c r="G874" s="11"/>
      <c r="H874" s="11"/>
      <c r="I874" s="11"/>
      <c r="J874" s="15"/>
      <c r="K874" s="15"/>
      <c r="L874" s="11"/>
      <c r="M874" s="11"/>
      <c r="N874" s="17" t="str">
        <f aca="false">IF(OR(J874="",K874="",J874=0),"",(J874-K874)/J874)</f>
        <v/>
      </c>
      <c r="O874" s="11"/>
    </row>
    <row r="875" customFormat="false" ht="15" hidden="false" customHeight="false" outlineLevel="0" collapsed="false">
      <c r="A875" s="11"/>
      <c r="B875" s="11"/>
      <c r="C875" s="11"/>
      <c r="D875" s="11"/>
      <c r="E875" s="11"/>
      <c r="F875" s="11"/>
      <c r="G875" s="11"/>
      <c r="H875" s="11"/>
      <c r="I875" s="11"/>
      <c r="J875" s="15"/>
      <c r="K875" s="15"/>
      <c r="L875" s="11"/>
      <c r="M875" s="11"/>
      <c r="N875" s="17" t="str">
        <f aca="false">IF(OR(J875="",K875="",J875=0),"",(J875-K875)/J875)</f>
        <v/>
      </c>
      <c r="O875" s="11"/>
    </row>
    <row r="876" customFormat="false" ht="15" hidden="false" customHeight="false" outlineLevel="0" collapsed="false">
      <c r="A876" s="11"/>
      <c r="B876" s="11"/>
      <c r="C876" s="11"/>
      <c r="D876" s="11"/>
      <c r="E876" s="11"/>
      <c r="F876" s="11"/>
      <c r="G876" s="11"/>
      <c r="H876" s="11"/>
      <c r="I876" s="11"/>
      <c r="J876" s="15"/>
      <c r="K876" s="15"/>
      <c r="L876" s="11"/>
      <c r="M876" s="11"/>
      <c r="N876" s="17" t="str">
        <f aca="false">IF(OR(J876="",K876="",J876=0),"",(J876-K876)/J876)</f>
        <v/>
      </c>
      <c r="O876" s="11"/>
    </row>
    <row r="877" customFormat="false" ht="15" hidden="false" customHeight="false" outlineLevel="0" collapsed="false">
      <c r="A877" s="11"/>
      <c r="B877" s="11"/>
      <c r="C877" s="11"/>
      <c r="D877" s="11"/>
      <c r="E877" s="11"/>
      <c r="F877" s="11"/>
      <c r="G877" s="11"/>
      <c r="H877" s="11"/>
      <c r="I877" s="11"/>
      <c r="J877" s="15"/>
      <c r="K877" s="15"/>
      <c r="L877" s="11"/>
      <c r="M877" s="11"/>
      <c r="N877" s="17" t="str">
        <f aca="false">IF(OR(J877="",K877="",J877=0),"",(J877-K877)/J877)</f>
        <v/>
      </c>
      <c r="O877" s="11"/>
    </row>
    <row r="878" customFormat="false" ht="15" hidden="false" customHeight="false" outlineLevel="0" collapsed="false">
      <c r="A878" s="11"/>
      <c r="B878" s="11"/>
      <c r="C878" s="11"/>
      <c r="D878" s="11"/>
      <c r="E878" s="11"/>
      <c r="F878" s="11"/>
      <c r="G878" s="11"/>
      <c r="H878" s="11"/>
      <c r="I878" s="11"/>
      <c r="J878" s="15"/>
      <c r="K878" s="15"/>
      <c r="L878" s="11"/>
      <c r="M878" s="11"/>
      <c r="N878" s="17" t="str">
        <f aca="false">IF(OR(J878="",K878="",J878=0),"",(J878-K878)/J878)</f>
        <v/>
      </c>
      <c r="O878" s="11"/>
    </row>
    <row r="879" customFormat="false" ht="15" hidden="false" customHeight="false" outlineLevel="0" collapsed="false">
      <c r="A879" s="11"/>
      <c r="B879" s="11"/>
      <c r="C879" s="11"/>
      <c r="D879" s="11"/>
      <c r="E879" s="11"/>
      <c r="F879" s="11"/>
      <c r="G879" s="11"/>
      <c r="H879" s="11"/>
      <c r="I879" s="11"/>
      <c r="J879" s="15"/>
      <c r="K879" s="15"/>
      <c r="L879" s="11"/>
      <c r="M879" s="11"/>
      <c r="N879" s="17" t="str">
        <f aca="false">IF(OR(J879="",K879="",J879=0),"",(J879-K879)/J879)</f>
        <v/>
      </c>
      <c r="O879" s="11"/>
    </row>
    <row r="880" customFormat="false" ht="15" hidden="false" customHeight="false" outlineLevel="0" collapsed="false">
      <c r="A880" s="11"/>
      <c r="B880" s="11"/>
      <c r="C880" s="11"/>
      <c r="D880" s="11"/>
      <c r="E880" s="11"/>
      <c r="F880" s="11"/>
      <c r="G880" s="11"/>
      <c r="H880" s="11"/>
      <c r="I880" s="11"/>
      <c r="J880" s="15"/>
      <c r="K880" s="15"/>
      <c r="L880" s="11"/>
      <c r="M880" s="11"/>
      <c r="N880" s="17" t="str">
        <f aca="false">IF(OR(J880="",K880="",J880=0),"",(J880-K880)/J880)</f>
        <v/>
      </c>
      <c r="O880" s="11"/>
    </row>
    <row r="881" customFormat="false" ht="15" hidden="false" customHeight="false" outlineLevel="0" collapsed="false">
      <c r="A881" s="11"/>
      <c r="B881" s="11"/>
      <c r="C881" s="11"/>
      <c r="D881" s="11"/>
      <c r="E881" s="11"/>
      <c r="F881" s="11"/>
      <c r="G881" s="11"/>
      <c r="H881" s="11"/>
      <c r="I881" s="11"/>
      <c r="J881" s="15"/>
      <c r="K881" s="15"/>
      <c r="L881" s="11"/>
      <c r="M881" s="11"/>
      <c r="N881" s="17" t="str">
        <f aca="false">IF(OR(J881="",K881="",J881=0),"",(J881-K881)/J881)</f>
        <v/>
      </c>
      <c r="O881" s="11"/>
    </row>
    <row r="882" customFormat="false" ht="15" hidden="false" customHeight="false" outlineLevel="0" collapsed="false">
      <c r="A882" s="11"/>
      <c r="B882" s="11"/>
      <c r="C882" s="11"/>
      <c r="D882" s="11"/>
      <c r="E882" s="11"/>
      <c r="F882" s="11"/>
      <c r="G882" s="11"/>
      <c r="H882" s="11"/>
      <c r="I882" s="11"/>
      <c r="J882" s="15"/>
      <c r="K882" s="15"/>
      <c r="L882" s="11"/>
      <c r="M882" s="11"/>
      <c r="N882" s="17" t="str">
        <f aca="false">IF(OR(J882="",K882="",J882=0),"",(J882-K882)/J882)</f>
        <v/>
      </c>
      <c r="O882" s="11"/>
    </row>
    <row r="883" customFormat="false" ht="15" hidden="false" customHeight="false" outlineLevel="0" collapsed="false">
      <c r="A883" s="11"/>
      <c r="B883" s="11"/>
      <c r="C883" s="11"/>
      <c r="D883" s="11"/>
      <c r="E883" s="11"/>
      <c r="F883" s="11"/>
      <c r="G883" s="11"/>
      <c r="H883" s="11"/>
      <c r="I883" s="11"/>
      <c r="J883" s="15"/>
      <c r="K883" s="15"/>
      <c r="L883" s="11"/>
      <c r="M883" s="11"/>
      <c r="N883" s="17" t="str">
        <f aca="false">IF(OR(J883="",K883="",J883=0),"",(J883-K883)/J883)</f>
        <v/>
      </c>
      <c r="O883" s="11"/>
    </row>
    <row r="884" customFormat="false" ht="15" hidden="false" customHeight="false" outlineLevel="0" collapsed="false">
      <c r="A884" s="11"/>
      <c r="B884" s="11"/>
      <c r="C884" s="11"/>
      <c r="D884" s="11"/>
      <c r="E884" s="11"/>
      <c r="F884" s="11"/>
      <c r="G884" s="11"/>
      <c r="H884" s="11"/>
      <c r="I884" s="11"/>
      <c r="J884" s="15"/>
      <c r="K884" s="15"/>
      <c r="L884" s="11"/>
      <c r="M884" s="11"/>
      <c r="N884" s="17" t="str">
        <f aca="false">IF(OR(J884="",K884="",J884=0),"",(J884-K884)/J884)</f>
        <v/>
      </c>
      <c r="O884" s="11"/>
    </row>
    <row r="885" customFormat="false" ht="15" hidden="false" customHeight="false" outlineLevel="0" collapsed="false">
      <c r="A885" s="11"/>
      <c r="B885" s="11"/>
      <c r="C885" s="11"/>
      <c r="D885" s="11"/>
      <c r="E885" s="11"/>
      <c r="F885" s="11"/>
      <c r="G885" s="11"/>
      <c r="H885" s="11"/>
      <c r="I885" s="11"/>
      <c r="J885" s="15"/>
      <c r="K885" s="15"/>
      <c r="L885" s="11"/>
      <c r="M885" s="11"/>
      <c r="N885" s="17" t="str">
        <f aca="false">IF(OR(J885="",K885="",J885=0),"",(J885-K885)/J885)</f>
        <v/>
      </c>
      <c r="O885" s="11"/>
    </row>
    <row r="886" customFormat="false" ht="15" hidden="false" customHeight="false" outlineLevel="0" collapsed="false">
      <c r="A886" s="11"/>
      <c r="B886" s="11"/>
      <c r="C886" s="11"/>
      <c r="D886" s="11"/>
      <c r="E886" s="11"/>
      <c r="F886" s="11"/>
      <c r="G886" s="11"/>
      <c r="H886" s="11"/>
      <c r="I886" s="11"/>
      <c r="J886" s="15"/>
      <c r="K886" s="15"/>
      <c r="L886" s="11"/>
      <c r="M886" s="11"/>
      <c r="N886" s="17" t="str">
        <f aca="false">IF(OR(J886="",K886="",J886=0),"",(J886-K886)/J886)</f>
        <v/>
      </c>
      <c r="O886" s="11"/>
    </row>
    <row r="887" customFormat="false" ht="15" hidden="false" customHeight="false" outlineLevel="0" collapsed="false">
      <c r="A887" s="11"/>
      <c r="B887" s="11"/>
      <c r="C887" s="11"/>
      <c r="D887" s="11"/>
      <c r="E887" s="11"/>
      <c r="F887" s="11"/>
      <c r="G887" s="11"/>
      <c r="H887" s="11"/>
      <c r="I887" s="11"/>
      <c r="J887" s="15"/>
      <c r="K887" s="15"/>
      <c r="L887" s="11"/>
      <c r="M887" s="11"/>
      <c r="N887" s="17" t="str">
        <f aca="false">IF(OR(J887="",K887="",J887=0),"",(J887-K887)/J887)</f>
        <v/>
      </c>
      <c r="O887" s="11"/>
    </row>
    <row r="888" customFormat="false" ht="15" hidden="false" customHeight="false" outlineLevel="0" collapsed="false">
      <c r="A888" s="11"/>
      <c r="B888" s="11"/>
      <c r="C888" s="11"/>
      <c r="D888" s="11"/>
      <c r="E888" s="11"/>
      <c r="F888" s="11"/>
      <c r="G888" s="11"/>
      <c r="H888" s="11"/>
      <c r="I888" s="11"/>
      <c r="J888" s="15"/>
      <c r="K888" s="15"/>
      <c r="L888" s="11"/>
      <c r="M888" s="11"/>
      <c r="N888" s="17" t="str">
        <f aca="false">IF(OR(J888="",K888="",J888=0),"",(J888-K888)/J888)</f>
        <v/>
      </c>
      <c r="O888" s="11"/>
    </row>
    <row r="889" customFormat="false" ht="15" hidden="false" customHeight="false" outlineLevel="0" collapsed="false">
      <c r="A889" s="11"/>
      <c r="B889" s="11"/>
      <c r="C889" s="11"/>
      <c r="D889" s="11"/>
      <c r="E889" s="11"/>
      <c r="F889" s="11"/>
      <c r="G889" s="11"/>
      <c r="H889" s="11"/>
      <c r="I889" s="11"/>
      <c r="J889" s="15"/>
      <c r="K889" s="15"/>
      <c r="L889" s="11"/>
      <c r="M889" s="11"/>
      <c r="N889" s="17" t="str">
        <f aca="false">IF(OR(J889="",K889="",J889=0),"",(J889-K889)/J889)</f>
        <v/>
      </c>
      <c r="O889" s="11"/>
    </row>
    <row r="890" customFormat="false" ht="15" hidden="false" customHeight="false" outlineLevel="0" collapsed="false">
      <c r="A890" s="11"/>
      <c r="B890" s="11"/>
      <c r="C890" s="11"/>
      <c r="D890" s="11"/>
      <c r="E890" s="11"/>
      <c r="F890" s="11"/>
      <c r="G890" s="11"/>
      <c r="H890" s="11"/>
      <c r="I890" s="11"/>
      <c r="J890" s="15"/>
      <c r="K890" s="15"/>
      <c r="L890" s="11"/>
      <c r="M890" s="11"/>
      <c r="N890" s="17" t="str">
        <f aca="false">IF(OR(J890="",K890="",J890=0),"",(J890-K890)/J890)</f>
        <v/>
      </c>
      <c r="O890" s="11"/>
    </row>
    <row r="891" customFormat="false" ht="15" hidden="false" customHeight="false" outlineLevel="0" collapsed="false">
      <c r="A891" s="11"/>
      <c r="B891" s="11"/>
      <c r="C891" s="11"/>
      <c r="D891" s="11"/>
      <c r="E891" s="11"/>
      <c r="F891" s="11"/>
      <c r="G891" s="11"/>
      <c r="H891" s="11"/>
      <c r="I891" s="11"/>
      <c r="J891" s="15"/>
      <c r="K891" s="15"/>
      <c r="L891" s="11"/>
      <c r="M891" s="11"/>
      <c r="N891" s="17" t="str">
        <f aca="false">IF(OR(J891="",K891="",J891=0),"",(J891-K891)/J891)</f>
        <v/>
      </c>
      <c r="O891" s="11"/>
    </row>
    <row r="892" customFormat="false" ht="15" hidden="false" customHeight="false" outlineLevel="0" collapsed="false">
      <c r="A892" s="11"/>
      <c r="B892" s="11"/>
      <c r="C892" s="11"/>
      <c r="D892" s="11"/>
      <c r="E892" s="11"/>
      <c r="F892" s="11"/>
      <c r="G892" s="11"/>
      <c r="H892" s="11"/>
      <c r="I892" s="11"/>
      <c r="J892" s="15"/>
      <c r="K892" s="15"/>
      <c r="L892" s="11"/>
      <c r="M892" s="11"/>
      <c r="N892" s="17" t="str">
        <f aca="false">IF(OR(J892="",K892="",J892=0),"",(J892-K892)/J892)</f>
        <v/>
      </c>
      <c r="O892" s="11"/>
    </row>
    <row r="893" customFormat="false" ht="15" hidden="false" customHeight="false" outlineLevel="0" collapsed="false">
      <c r="A893" s="11"/>
      <c r="B893" s="11"/>
      <c r="C893" s="11"/>
      <c r="D893" s="11"/>
      <c r="E893" s="11"/>
      <c r="F893" s="11"/>
      <c r="G893" s="11"/>
      <c r="H893" s="11"/>
      <c r="I893" s="11"/>
      <c r="J893" s="15"/>
      <c r="K893" s="15"/>
      <c r="L893" s="11"/>
      <c r="M893" s="11"/>
      <c r="N893" s="17" t="str">
        <f aca="false">IF(OR(J893="",K893="",J893=0),"",(J893-K893)/J893)</f>
        <v/>
      </c>
      <c r="O893" s="11"/>
    </row>
    <row r="894" customFormat="false" ht="15" hidden="false" customHeight="false" outlineLevel="0" collapsed="false">
      <c r="A894" s="11"/>
      <c r="B894" s="11"/>
      <c r="C894" s="11"/>
      <c r="D894" s="11"/>
      <c r="E894" s="11"/>
      <c r="F894" s="11"/>
      <c r="G894" s="11"/>
      <c r="H894" s="11"/>
      <c r="I894" s="11"/>
      <c r="J894" s="15"/>
      <c r="K894" s="15"/>
      <c r="L894" s="11"/>
      <c r="M894" s="11"/>
      <c r="N894" s="17" t="str">
        <f aca="false">IF(OR(J894="",K894="",J894=0),"",(J894-K894)/J894)</f>
        <v/>
      </c>
      <c r="O894" s="11"/>
    </row>
    <row r="895" customFormat="false" ht="15" hidden="false" customHeight="false" outlineLevel="0" collapsed="false">
      <c r="A895" s="11"/>
      <c r="B895" s="11"/>
      <c r="C895" s="11"/>
      <c r="D895" s="11"/>
      <c r="E895" s="11"/>
      <c r="F895" s="11"/>
      <c r="G895" s="11"/>
      <c r="H895" s="11"/>
      <c r="I895" s="11"/>
      <c r="J895" s="15"/>
      <c r="K895" s="15"/>
      <c r="L895" s="11"/>
      <c r="M895" s="11"/>
      <c r="N895" s="17" t="str">
        <f aca="false">IF(OR(J895="",K895="",J895=0),"",(J895-K895)/J895)</f>
        <v/>
      </c>
      <c r="O895" s="11"/>
    </row>
    <row r="896" customFormat="false" ht="15" hidden="false" customHeight="false" outlineLevel="0" collapsed="false">
      <c r="A896" s="11"/>
      <c r="B896" s="11"/>
      <c r="C896" s="11"/>
      <c r="D896" s="11"/>
      <c r="E896" s="11"/>
      <c r="F896" s="11"/>
      <c r="G896" s="11"/>
      <c r="H896" s="11"/>
      <c r="I896" s="11"/>
      <c r="J896" s="15"/>
      <c r="K896" s="15"/>
      <c r="L896" s="11"/>
      <c r="M896" s="11"/>
      <c r="N896" s="17" t="str">
        <f aca="false">IF(OR(J896="",K896="",J896=0),"",(J896-K896)/J896)</f>
        <v/>
      </c>
      <c r="O896" s="11"/>
    </row>
    <row r="897" customFormat="false" ht="15" hidden="false" customHeight="false" outlineLevel="0" collapsed="false">
      <c r="A897" s="11"/>
      <c r="B897" s="11"/>
      <c r="C897" s="11"/>
      <c r="D897" s="11"/>
      <c r="E897" s="11"/>
      <c r="F897" s="11"/>
      <c r="G897" s="11"/>
      <c r="H897" s="11"/>
      <c r="I897" s="11"/>
      <c r="J897" s="15"/>
      <c r="K897" s="15"/>
      <c r="L897" s="11"/>
      <c r="M897" s="11"/>
      <c r="N897" s="17" t="str">
        <f aca="false">IF(OR(J897="",K897="",J897=0),"",(J897-K897)/J897)</f>
        <v/>
      </c>
      <c r="O897" s="11"/>
    </row>
    <row r="898" customFormat="false" ht="15" hidden="false" customHeight="false" outlineLevel="0" collapsed="false">
      <c r="A898" s="11"/>
      <c r="B898" s="11"/>
      <c r="C898" s="11"/>
      <c r="D898" s="11"/>
      <c r="E898" s="11"/>
      <c r="F898" s="11"/>
      <c r="G898" s="11"/>
      <c r="H898" s="11"/>
      <c r="I898" s="11"/>
      <c r="J898" s="15"/>
      <c r="K898" s="15"/>
      <c r="L898" s="11"/>
      <c r="M898" s="11"/>
      <c r="N898" s="17" t="str">
        <f aca="false">IF(OR(J898="",K898="",J898=0),"",(J898-K898)/J898)</f>
        <v/>
      </c>
      <c r="O898" s="11"/>
    </row>
    <row r="899" customFormat="false" ht="15" hidden="false" customHeight="false" outlineLevel="0" collapsed="false">
      <c r="A899" s="11"/>
      <c r="B899" s="11"/>
      <c r="C899" s="11"/>
      <c r="D899" s="11"/>
      <c r="E899" s="11"/>
      <c r="F899" s="11"/>
      <c r="G899" s="11"/>
      <c r="H899" s="11"/>
      <c r="I899" s="11"/>
      <c r="J899" s="15"/>
      <c r="K899" s="15"/>
      <c r="L899" s="11"/>
      <c r="M899" s="11"/>
      <c r="N899" s="17" t="str">
        <f aca="false">IF(OR(J899="",K899="",J899=0),"",(J899-K899)/J899)</f>
        <v/>
      </c>
      <c r="O899" s="11"/>
    </row>
    <row r="900" customFormat="false" ht="15" hidden="false" customHeight="false" outlineLevel="0" collapsed="false">
      <c r="A900" s="11"/>
      <c r="B900" s="11"/>
      <c r="C900" s="11"/>
      <c r="D900" s="11"/>
      <c r="E900" s="11"/>
      <c r="F900" s="11"/>
      <c r="G900" s="11"/>
      <c r="H900" s="11"/>
      <c r="I900" s="11"/>
      <c r="J900" s="15"/>
      <c r="K900" s="15"/>
      <c r="L900" s="11"/>
      <c r="M900" s="11"/>
      <c r="N900" s="17" t="str">
        <f aca="false">IF(OR(J900="",K900="",J900=0),"",(J900-K900)/J900)</f>
        <v/>
      </c>
      <c r="O900" s="11"/>
    </row>
    <row r="901" customFormat="false" ht="15" hidden="false" customHeight="false" outlineLevel="0" collapsed="false">
      <c r="A901" s="11"/>
      <c r="B901" s="11"/>
      <c r="C901" s="11"/>
      <c r="D901" s="11"/>
      <c r="E901" s="11"/>
      <c r="F901" s="11"/>
      <c r="G901" s="11"/>
      <c r="H901" s="11"/>
      <c r="I901" s="11"/>
      <c r="J901" s="15"/>
      <c r="K901" s="15"/>
      <c r="L901" s="11"/>
      <c r="M901" s="11"/>
      <c r="N901" s="17" t="str">
        <f aca="false">IF(OR(J901="",K901="",J901=0),"",(J901-K901)/J901)</f>
        <v/>
      </c>
      <c r="O901" s="11"/>
    </row>
    <row r="902" customFormat="false" ht="15" hidden="false" customHeight="false" outlineLevel="0" collapsed="false">
      <c r="A902" s="11"/>
      <c r="B902" s="11"/>
      <c r="C902" s="11"/>
      <c r="D902" s="11"/>
      <c r="E902" s="11"/>
      <c r="F902" s="11"/>
      <c r="G902" s="11"/>
      <c r="H902" s="11"/>
      <c r="I902" s="11"/>
      <c r="J902" s="15"/>
      <c r="K902" s="15"/>
      <c r="L902" s="11"/>
      <c r="M902" s="11"/>
      <c r="N902" s="17" t="str">
        <f aca="false">IF(OR(J902="",K902="",J902=0),"",(J902-K902)/J902)</f>
        <v/>
      </c>
      <c r="O902" s="11"/>
    </row>
    <row r="903" customFormat="false" ht="15" hidden="false" customHeight="false" outlineLevel="0" collapsed="false">
      <c r="A903" s="11"/>
      <c r="B903" s="11"/>
      <c r="C903" s="11"/>
      <c r="D903" s="11"/>
      <c r="E903" s="11"/>
      <c r="F903" s="11"/>
      <c r="G903" s="11"/>
      <c r="H903" s="11"/>
      <c r="I903" s="11"/>
      <c r="J903" s="15"/>
      <c r="K903" s="15"/>
      <c r="L903" s="11"/>
      <c r="M903" s="11"/>
      <c r="N903" s="17" t="str">
        <f aca="false">IF(OR(J903="",K903="",J903=0),"",(J903-K903)/J903)</f>
        <v/>
      </c>
      <c r="O903" s="11"/>
    </row>
    <row r="904" customFormat="false" ht="15" hidden="false" customHeight="false" outlineLevel="0" collapsed="false">
      <c r="A904" s="11"/>
      <c r="B904" s="11"/>
      <c r="C904" s="11"/>
      <c r="D904" s="11"/>
      <c r="E904" s="11"/>
      <c r="F904" s="11"/>
      <c r="G904" s="11"/>
      <c r="H904" s="11"/>
      <c r="I904" s="11"/>
      <c r="J904" s="15"/>
      <c r="K904" s="15"/>
      <c r="L904" s="11"/>
      <c r="M904" s="11"/>
      <c r="N904" s="17" t="str">
        <f aca="false">IF(OR(J904="",K904="",J904=0),"",(J904-K904)/J904)</f>
        <v/>
      </c>
      <c r="O904" s="11"/>
    </row>
    <row r="905" customFormat="false" ht="15" hidden="false" customHeight="false" outlineLevel="0" collapsed="false">
      <c r="A905" s="11"/>
      <c r="B905" s="11"/>
      <c r="C905" s="11"/>
      <c r="D905" s="11"/>
      <c r="E905" s="11"/>
      <c r="F905" s="11"/>
      <c r="G905" s="11"/>
      <c r="H905" s="11"/>
      <c r="I905" s="11"/>
      <c r="J905" s="15"/>
      <c r="K905" s="15"/>
      <c r="L905" s="11"/>
      <c r="M905" s="11"/>
      <c r="N905" s="17" t="str">
        <f aca="false">IF(OR(J905="",K905="",J905=0),"",(J905-K905)/J905)</f>
        <v/>
      </c>
      <c r="O905" s="11"/>
    </row>
    <row r="906" customFormat="false" ht="15" hidden="false" customHeight="false" outlineLevel="0" collapsed="false">
      <c r="A906" s="11"/>
      <c r="B906" s="11"/>
      <c r="C906" s="11"/>
      <c r="D906" s="11"/>
      <c r="E906" s="11"/>
      <c r="F906" s="11"/>
      <c r="G906" s="11"/>
      <c r="H906" s="11"/>
      <c r="I906" s="11"/>
      <c r="J906" s="15"/>
      <c r="K906" s="15"/>
      <c r="L906" s="11"/>
      <c r="M906" s="11"/>
      <c r="N906" s="17" t="str">
        <f aca="false">IF(OR(J906="",K906="",J906=0),"",(J906-K906)/J906)</f>
        <v/>
      </c>
      <c r="O906" s="11"/>
    </row>
    <row r="907" customFormat="false" ht="15" hidden="false" customHeight="false" outlineLevel="0" collapsed="false">
      <c r="A907" s="11"/>
      <c r="B907" s="11"/>
      <c r="C907" s="11"/>
      <c r="D907" s="11"/>
      <c r="E907" s="11"/>
      <c r="F907" s="11"/>
      <c r="G907" s="11"/>
      <c r="H907" s="11"/>
      <c r="I907" s="11"/>
      <c r="J907" s="15"/>
      <c r="K907" s="15"/>
      <c r="L907" s="11"/>
      <c r="M907" s="11"/>
      <c r="N907" s="17" t="str">
        <f aca="false">IF(OR(J907="",K907="",J907=0),"",(J907-K907)/J907)</f>
        <v/>
      </c>
      <c r="O907" s="11"/>
    </row>
    <row r="908" customFormat="false" ht="15" hidden="false" customHeight="false" outlineLevel="0" collapsed="false">
      <c r="A908" s="11"/>
      <c r="B908" s="11"/>
      <c r="C908" s="11"/>
      <c r="D908" s="11"/>
      <c r="E908" s="11"/>
      <c r="F908" s="11"/>
      <c r="G908" s="11"/>
      <c r="H908" s="11"/>
      <c r="I908" s="11"/>
      <c r="J908" s="15"/>
      <c r="K908" s="15"/>
      <c r="L908" s="11"/>
      <c r="M908" s="11"/>
      <c r="N908" s="17" t="str">
        <f aca="false">IF(OR(J908="",K908="",J908=0),"",(J908-K908)/J908)</f>
        <v/>
      </c>
      <c r="O908" s="11"/>
    </row>
    <row r="909" customFormat="false" ht="15" hidden="false" customHeight="false" outlineLevel="0" collapsed="false">
      <c r="A909" s="11"/>
      <c r="B909" s="11"/>
      <c r="C909" s="11"/>
      <c r="D909" s="11"/>
      <c r="E909" s="11"/>
      <c r="F909" s="11"/>
      <c r="G909" s="11"/>
      <c r="H909" s="11"/>
      <c r="I909" s="11"/>
      <c r="J909" s="15"/>
      <c r="K909" s="15"/>
      <c r="L909" s="11"/>
      <c r="M909" s="11"/>
      <c r="N909" s="17" t="str">
        <f aca="false">IF(OR(J909="",K909="",J909=0),"",(J909-K909)/J909)</f>
        <v/>
      </c>
      <c r="O909" s="11"/>
    </row>
    <row r="910" customFormat="false" ht="15" hidden="false" customHeight="false" outlineLevel="0" collapsed="false">
      <c r="A910" s="11"/>
      <c r="B910" s="11"/>
      <c r="C910" s="11"/>
      <c r="D910" s="11"/>
      <c r="E910" s="11"/>
      <c r="F910" s="11"/>
      <c r="G910" s="11"/>
      <c r="H910" s="11"/>
      <c r="I910" s="11"/>
      <c r="J910" s="15"/>
      <c r="K910" s="15"/>
      <c r="L910" s="11"/>
      <c r="M910" s="11"/>
      <c r="N910" s="17" t="str">
        <f aca="false">IF(OR(J910="",K910="",J910=0),"",(J910-K910)/J910)</f>
        <v/>
      </c>
      <c r="O910" s="11"/>
    </row>
    <row r="911" customFormat="false" ht="15" hidden="false" customHeight="false" outlineLevel="0" collapsed="false">
      <c r="A911" s="11"/>
      <c r="B911" s="11"/>
      <c r="C911" s="11"/>
      <c r="D911" s="11"/>
      <c r="E911" s="11"/>
      <c r="F911" s="11"/>
      <c r="G911" s="11"/>
      <c r="H911" s="11"/>
      <c r="I911" s="11"/>
      <c r="J911" s="15"/>
      <c r="K911" s="15"/>
      <c r="L911" s="11"/>
      <c r="M911" s="11"/>
      <c r="N911" s="17" t="str">
        <f aca="false">IF(OR(J911="",K911="",J911=0),"",(J911-K911)/J911)</f>
        <v/>
      </c>
      <c r="O911" s="11"/>
    </row>
    <row r="912" customFormat="false" ht="15" hidden="false" customHeight="false" outlineLevel="0" collapsed="false">
      <c r="A912" s="11"/>
      <c r="B912" s="11"/>
      <c r="C912" s="11"/>
      <c r="D912" s="11"/>
      <c r="E912" s="11"/>
      <c r="F912" s="11"/>
      <c r="G912" s="11"/>
      <c r="H912" s="11"/>
      <c r="I912" s="11"/>
      <c r="J912" s="15"/>
      <c r="K912" s="15"/>
      <c r="L912" s="11"/>
      <c r="M912" s="11"/>
      <c r="N912" s="17" t="str">
        <f aca="false">IF(OR(J912="",K912="",J912=0),"",(J912-K912)/J912)</f>
        <v/>
      </c>
      <c r="O912" s="11"/>
    </row>
    <row r="913" customFormat="false" ht="15" hidden="false" customHeight="false" outlineLevel="0" collapsed="false">
      <c r="A913" s="11"/>
      <c r="B913" s="11"/>
      <c r="C913" s="11"/>
      <c r="D913" s="11"/>
      <c r="E913" s="11"/>
      <c r="F913" s="11"/>
      <c r="G913" s="11"/>
      <c r="H913" s="11"/>
      <c r="I913" s="11"/>
      <c r="J913" s="15"/>
      <c r="K913" s="15"/>
      <c r="L913" s="11"/>
      <c r="M913" s="11"/>
      <c r="N913" s="17" t="str">
        <f aca="false">IF(OR(J913="",K913="",J913=0),"",(J913-K913)/J913)</f>
        <v/>
      </c>
      <c r="O913" s="11"/>
    </row>
    <row r="914" customFormat="false" ht="15" hidden="false" customHeight="false" outlineLevel="0" collapsed="false">
      <c r="A914" s="11"/>
      <c r="B914" s="11"/>
      <c r="C914" s="11"/>
      <c r="D914" s="11"/>
      <c r="E914" s="11"/>
      <c r="F914" s="11"/>
      <c r="G914" s="11"/>
      <c r="H914" s="11"/>
      <c r="I914" s="11"/>
      <c r="J914" s="15"/>
      <c r="K914" s="15"/>
      <c r="L914" s="11"/>
      <c r="M914" s="11"/>
      <c r="N914" s="17" t="str">
        <f aca="false">IF(OR(J914="",K914="",J914=0),"",(J914-K914)/J914)</f>
        <v/>
      </c>
      <c r="O914" s="11"/>
    </row>
    <row r="915" customFormat="false" ht="15" hidden="false" customHeight="false" outlineLevel="0" collapsed="false">
      <c r="A915" s="11"/>
      <c r="B915" s="11"/>
      <c r="C915" s="11"/>
      <c r="D915" s="11"/>
      <c r="E915" s="11"/>
      <c r="F915" s="11"/>
      <c r="G915" s="11"/>
      <c r="H915" s="11"/>
      <c r="I915" s="11"/>
      <c r="J915" s="15"/>
      <c r="K915" s="15"/>
      <c r="L915" s="11"/>
      <c r="M915" s="11"/>
      <c r="N915" s="17" t="str">
        <f aca="false">IF(OR(J915="",K915="",J915=0),"",(J915-K915)/J915)</f>
        <v/>
      </c>
      <c r="O915" s="11"/>
    </row>
    <row r="916" customFormat="false" ht="15" hidden="false" customHeight="false" outlineLevel="0" collapsed="false">
      <c r="A916" s="11"/>
      <c r="B916" s="11"/>
      <c r="C916" s="11"/>
      <c r="D916" s="11"/>
      <c r="E916" s="11"/>
      <c r="F916" s="11"/>
      <c r="G916" s="11"/>
      <c r="H916" s="11"/>
      <c r="I916" s="11"/>
      <c r="J916" s="15"/>
      <c r="K916" s="15"/>
      <c r="L916" s="11"/>
      <c r="M916" s="11"/>
      <c r="N916" s="17" t="str">
        <f aca="false">IF(OR(J916="",K916="",J916=0),"",(J916-K916)/J916)</f>
        <v/>
      </c>
      <c r="O916" s="11"/>
    </row>
    <row r="917" customFormat="false" ht="15" hidden="false" customHeight="false" outlineLevel="0" collapsed="false">
      <c r="A917" s="11"/>
      <c r="B917" s="11"/>
      <c r="C917" s="11"/>
      <c r="D917" s="11"/>
      <c r="E917" s="11"/>
      <c r="F917" s="11"/>
      <c r="G917" s="11"/>
      <c r="H917" s="11"/>
      <c r="I917" s="11"/>
      <c r="J917" s="15"/>
      <c r="K917" s="15"/>
      <c r="L917" s="11"/>
      <c r="M917" s="11"/>
      <c r="N917" s="17" t="str">
        <f aca="false">IF(OR(J917="",K917="",J917=0),"",(J917-K917)/J917)</f>
        <v/>
      </c>
      <c r="O917" s="11"/>
    </row>
    <row r="918" customFormat="false" ht="15" hidden="false" customHeight="false" outlineLevel="0" collapsed="false">
      <c r="A918" s="11"/>
      <c r="B918" s="11"/>
      <c r="C918" s="11"/>
      <c r="D918" s="11"/>
      <c r="E918" s="11"/>
      <c r="F918" s="11"/>
      <c r="G918" s="11"/>
      <c r="H918" s="11"/>
      <c r="I918" s="11"/>
      <c r="J918" s="15"/>
      <c r="K918" s="15"/>
      <c r="L918" s="11"/>
      <c r="M918" s="11"/>
      <c r="N918" s="17" t="str">
        <f aca="false">IF(OR(J918="",K918="",J918=0),"",(J918-K918)/J918)</f>
        <v/>
      </c>
      <c r="O918" s="11"/>
    </row>
    <row r="919" customFormat="false" ht="15" hidden="false" customHeight="false" outlineLevel="0" collapsed="false">
      <c r="A919" s="11"/>
      <c r="B919" s="11"/>
      <c r="C919" s="11"/>
      <c r="D919" s="11"/>
      <c r="E919" s="11"/>
      <c r="F919" s="11"/>
      <c r="G919" s="11"/>
      <c r="H919" s="11"/>
      <c r="I919" s="11"/>
      <c r="J919" s="15"/>
      <c r="K919" s="15"/>
      <c r="L919" s="11"/>
      <c r="M919" s="11"/>
      <c r="N919" s="17" t="str">
        <f aca="false">IF(OR(J919="",K919="",J919=0),"",(J919-K919)/J919)</f>
        <v/>
      </c>
      <c r="O919" s="11"/>
    </row>
    <row r="920" customFormat="false" ht="15" hidden="false" customHeight="false" outlineLevel="0" collapsed="false">
      <c r="A920" s="11"/>
      <c r="B920" s="11"/>
      <c r="C920" s="11"/>
      <c r="D920" s="11"/>
      <c r="E920" s="11"/>
      <c r="F920" s="11"/>
      <c r="G920" s="11"/>
      <c r="H920" s="11"/>
      <c r="I920" s="11"/>
      <c r="J920" s="15"/>
      <c r="K920" s="15"/>
      <c r="L920" s="11"/>
      <c r="M920" s="11"/>
      <c r="N920" s="17" t="str">
        <f aca="false">IF(OR(J920="",K920="",J920=0),"",(J920-K920)/J920)</f>
        <v/>
      </c>
      <c r="O920" s="11"/>
    </row>
    <row r="921" customFormat="false" ht="15" hidden="false" customHeight="false" outlineLevel="0" collapsed="false">
      <c r="A921" s="11"/>
      <c r="B921" s="11"/>
      <c r="C921" s="11"/>
      <c r="D921" s="11"/>
      <c r="E921" s="11"/>
      <c r="F921" s="11"/>
      <c r="G921" s="11"/>
      <c r="H921" s="11"/>
      <c r="I921" s="11"/>
      <c r="J921" s="15"/>
      <c r="K921" s="15"/>
      <c r="L921" s="11"/>
      <c r="M921" s="11"/>
      <c r="N921" s="17" t="str">
        <f aca="false">IF(OR(J921="",K921="",J921=0),"",(J921-K921)/J921)</f>
        <v/>
      </c>
      <c r="O921" s="11"/>
    </row>
    <row r="922" customFormat="false" ht="15" hidden="false" customHeight="false" outlineLevel="0" collapsed="false">
      <c r="A922" s="11"/>
      <c r="B922" s="11"/>
      <c r="C922" s="11"/>
      <c r="D922" s="11"/>
      <c r="E922" s="11"/>
      <c r="F922" s="11"/>
      <c r="G922" s="11"/>
      <c r="H922" s="11"/>
      <c r="I922" s="11"/>
      <c r="J922" s="15"/>
      <c r="K922" s="15"/>
      <c r="L922" s="11"/>
      <c r="M922" s="11"/>
      <c r="N922" s="17" t="str">
        <f aca="false">IF(OR(J922="",K922="",J922=0),"",(J922-K922)/J922)</f>
        <v/>
      </c>
      <c r="O922" s="11"/>
    </row>
    <row r="923" customFormat="false" ht="15" hidden="false" customHeight="false" outlineLevel="0" collapsed="false">
      <c r="A923" s="11"/>
      <c r="B923" s="11"/>
      <c r="C923" s="11"/>
      <c r="D923" s="11"/>
      <c r="E923" s="11"/>
      <c r="F923" s="11"/>
      <c r="G923" s="11"/>
      <c r="H923" s="11"/>
      <c r="I923" s="11"/>
      <c r="J923" s="15"/>
      <c r="K923" s="15"/>
      <c r="L923" s="11"/>
      <c r="M923" s="11"/>
      <c r="N923" s="17" t="str">
        <f aca="false">IF(OR(J923="",K923="",J923=0),"",(J923-K923)/J923)</f>
        <v/>
      </c>
      <c r="O923" s="11"/>
    </row>
    <row r="924" customFormat="false" ht="15" hidden="false" customHeight="false" outlineLevel="0" collapsed="false">
      <c r="A924" s="11"/>
      <c r="B924" s="11"/>
      <c r="C924" s="11"/>
      <c r="D924" s="11"/>
      <c r="E924" s="11"/>
      <c r="F924" s="11"/>
      <c r="G924" s="11"/>
      <c r="H924" s="11"/>
      <c r="I924" s="11"/>
      <c r="J924" s="15"/>
      <c r="K924" s="15"/>
      <c r="L924" s="11"/>
      <c r="M924" s="11"/>
      <c r="N924" s="17" t="str">
        <f aca="false">IF(OR(J924="",K924="",J924=0),"",(J924-K924)/J924)</f>
        <v/>
      </c>
      <c r="O924" s="11"/>
    </row>
    <row r="925" customFormat="false" ht="15" hidden="false" customHeight="false" outlineLevel="0" collapsed="false">
      <c r="A925" s="11"/>
      <c r="B925" s="11"/>
      <c r="C925" s="11"/>
      <c r="D925" s="11"/>
      <c r="E925" s="11"/>
      <c r="F925" s="11"/>
      <c r="G925" s="11"/>
      <c r="H925" s="11"/>
      <c r="I925" s="11"/>
      <c r="J925" s="15"/>
      <c r="K925" s="15"/>
      <c r="L925" s="11"/>
      <c r="M925" s="11"/>
      <c r="N925" s="17" t="str">
        <f aca="false">IF(OR(J925="",K925="",J925=0),"",(J925-K925)/J925)</f>
        <v/>
      </c>
      <c r="O925" s="11"/>
    </row>
    <row r="926" customFormat="false" ht="15" hidden="false" customHeight="false" outlineLevel="0" collapsed="false">
      <c r="A926" s="11"/>
      <c r="B926" s="11"/>
      <c r="C926" s="11"/>
      <c r="D926" s="11"/>
      <c r="E926" s="11"/>
      <c r="F926" s="11"/>
      <c r="G926" s="11"/>
      <c r="H926" s="11"/>
      <c r="I926" s="11"/>
      <c r="J926" s="15"/>
      <c r="K926" s="15"/>
      <c r="L926" s="11"/>
      <c r="M926" s="11"/>
      <c r="N926" s="17" t="str">
        <f aca="false">IF(OR(J926="",K926="",J926=0),"",(J926-K926)/J926)</f>
        <v/>
      </c>
      <c r="O926" s="11"/>
    </row>
    <row r="927" customFormat="false" ht="15" hidden="false" customHeight="false" outlineLevel="0" collapsed="false">
      <c r="A927" s="11"/>
      <c r="B927" s="11"/>
      <c r="C927" s="11"/>
      <c r="D927" s="11"/>
      <c r="E927" s="11"/>
      <c r="F927" s="11"/>
      <c r="G927" s="11"/>
      <c r="H927" s="11"/>
      <c r="I927" s="11"/>
      <c r="J927" s="15"/>
      <c r="K927" s="15"/>
      <c r="L927" s="11"/>
      <c r="M927" s="11"/>
      <c r="N927" s="17" t="str">
        <f aca="false">IF(OR(J927="",K927="",J927=0),"",(J927-K927)/J927)</f>
        <v/>
      </c>
      <c r="O927" s="11"/>
    </row>
    <row r="928" customFormat="false" ht="15" hidden="false" customHeight="false" outlineLevel="0" collapsed="false">
      <c r="A928" s="11"/>
      <c r="B928" s="11"/>
      <c r="C928" s="11"/>
      <c r="D928" s="11"/>
      <c r="E928" s="11"/>
      <c r="F928" s="11"/>
      <c r="G928" s="11"/>
      <c r="H928" s="11"/>
      <c r="I928" s="11"/>
      <c r="J928" s="15"/>
      <c r="K928" s="15"/>
      <c r="L928" s="11"/>
      <c r="M928" s="11"/>
      <c r="N928" s="17" t="str">
        <f aca="false">IF(OR(J928="",K928="",J928=0),"",(J928-K928)/J928)</f>
        <v/>
      </c>
      <c r="O928" s="11"/>
    </row>
    <row r="929" customFormat="false" ht="15" hidden="false" customHeight="false" outlineLevel="0" collapsed="false">
      <c r="A929" s="11"/>
      <c r="B929" s="11"/>
      <c r="C929" s="11"/>
      <c r="D929" s="11"/>
      <c r="E929" s="11"/>
      <c r="F929" s="11"/>
      <c r="G929" s="11"/>
      <c r="H929" s="11"/>
      <c r="I929" s="11"/>
      <c r="J929" s="15"/>
      <c r="K929" s="15"/>
      <c r="L929" s="11"/>
      <c r="M929" s="11"/>
      <c r="N929" s="17" t="str">
        <f aca="false">IF(OR(J929="",K929="",J929=0),"",(J929-K929)/J929)</f>
        <v/>
      </c>
      <c r="O929" s="11"/>
    </row>
    <row r="930" customFormat="false" ht="15" hidden="false" customHeight="false" outlineLevel="0" collapsed="false">
      <c r="A930" s="11"/>
      <c r="B930" s="11"/>
      <c r="C930" s="11"/>
      <c r="D930" s="11"/>
      <c r="E930" s="11"/>
      <c r="F930" s="11"/>
      <c r="G930" s="11"/>
      <c r="H930" s="11"/>
      <c r="I930" s="11"/>
      <c r="J930" s="15"/>
      <c r="K930" s="15"/>
      <c r="L930" s="11"/>
      <c r="M930" s="11"/>
      <c r="N930" s="17" t="str">
        <f aca="false">IF(OR(J930="",K930="",J930=0),"",(J930-K930)/J930)</f>
        <v/>
      </c>
      <c r="O930" s="11"/>
    </row>
    <row r="931" customFormat="false" ht="15" hidden="false" customHeight="false" outlineLevel="0" collapsed="false">
      <c r="A931" s="11"/>
      <c r="B931" s="11"/>
      <c r="C931" s="11"/>
      <c r="D931" s="11"/>
      <c r="E931" s="11"/>
      <c r="F931" s="11"/>
      <c r="G931" s="11"/>
      <c r="H931" s="11"/>
      <c r="I931" s="11"/>
      <c r="J931" s="15"/>
      <c r="K931" s="15"/>
      <c r="L931" s="11"/>
      <c r="M931" s="11"/>
      <c r="N931" s="17" t="str">
        <f aca="false">IF(OR(J931="",K931="",J931=0),"",(J931-K931)/J931)</f>
        <v/>
      </c>
      <c r="O931" s="11"/>
    </row>
    <row r="932" customFormat="false" ht="15" hidden="false" customHeight="false" outlineLevel="0" collapsed="false">
      <c r="A932" s="11"/>
      <c r="B932" s="11"/>
      <c r="C932" s="11"/>
      <c r="D932" s="11"/>
      <c r="E932" s="11"/>
      <c r="F932" s="11"/>
      <c r="G932" s="11"/>
      <c r="H932" s="11"/>
      <c r="I932" s="11"/>
      <c r="J932" s="15"/>
      <c r="K932" s="15"/>
      <c r="L932" s="11"/>
      <c r="M932" s="11"/>
      <c r="N932" s="17" t="str">
        <f aca="false">IF(OR(J932="",K932="",J932=0),"",(J932-K932)/J932)</f>
        <v/>
      </c>
      <c r="O932" s="11"/>
    </row>
    <row r="933" customFormat="false" ht="15" hidden="false" customHeight="false" outlineLevel="0" collapsed="false">
      <c r="A933" s="11"/>
      <c r="B933" s="11"/>
      <c r="C933" s="11"/>
      <c r="D933" s="11"/>
      <c r="E933" s="11"/>
      <c r="F933" s="11"/>
      <c r="G933" s="11"/>
      <c r="H933" s="11"/>
      <c r="I933" s="11"/>
      <c r="J933" s="15"/>
      <c r="K933" s="15"/>
      <c r="L933" s="11"/>
      <c r="M933" s="11"/>
      <c r="N933" s="17" t="str">
        <f aca="false">IF(OR(J933="",K933="",J933=0),"",(J933-K933)/J933)</f>
        <v/>
      </c>
      <c r="O933" s="11"/>
    </row>
    <row r="934" customFormat="false" ht="15" hidden="false" customHeight="false" outlineLevel="0" collapsed="false">
      <c r="A934" s="11"/>
      <c r="B934" s="11"/>
      <c r="C934" s="11"/>
      <c r="D934" s="11"/>
      <c r="E934" s="11"/>
      <c r="F934" s="11"/>
      <c r="G934" s="11"/>
      <c r="H934" s="11"/>
      <c r="I934" s="11"/>
      <c r="J934" s="15"/>
      <c r="K934" s="15"/>
      <c r="L934" s="11"/>
      <c r="M934" s="11"/>
      <c r="N934" s="17" t="str">
        <f aca="false">IF(OR(J934="",K934="",J934=0),"",(J934-K934)/J934)</f>
        <v/>
      </c>
      <c r="O934" s="11"/>
    </row>
    <row r="935" customFormat="false" ht="15" hidden="false" customHeight="false" outlineLevel="0" collapsed="false">
      <c r="A935" s="11"/>
      <c r="B935" s="11"/>
      <c r="C935" s="11"/>
      <c r="D935" s="11"/>
      <c r="E935" s="11"/>
      <c r="F935" s="11"/>
      <c r="G935" s="11"/>
      <c r="H935" s="11"/>
      <c r="I935" s="11"/>
      <c r="J935" s="15"/>
      <c r="K935" s="15"/>
      <c r="L935" s="11"/>
      <c r="M935" s="11"/>
      <c r="N935" s="17" t="str">
        <f aca="false">IF(OR(J935="",K935="",J935=0),"",(J935-K935)/J935)</f>
        <v/>
      </c>
      <c r="O935" s="11"/>
    </row>
    <row r="936" customFormat="false" ht="15" hidden="false" customHeight="false" outlineLevel="0" collapsed="false">
      <c r="A936" s="11"/>
      <c r="B936" s="11"/>
      <c r="C936" s="11"/>
      <c r="D936" s="11"/>
      <c r="E936" s="11"/>
      <c r="F936" s="11"/>
      <c r="G936" s="11"/>
      <c r="H936" s="11"/>
      <c r="I936" s="11"/>
      <c r="J936" s="15"/>
      <c r="K936" s="15"/>
      <c r="L936" s="11"/>
      <c r="M936" s="11"/>
      <c r="N936" s="17" t="str">
        <f aca="false">IF(OR(J936="",K936="",J936=0),"",(J936-K936)/J936)</f>
        <v/>
      </c>
      <c r="O936" s="11"/>
    </row>
    <row r="937" customFormat="false" ht="15" hidden="false" customHeight="false" outlineLevel="0" collapsed="false">
      <c r="A937" s="11"/>
      <c r="B937" s="11"/>
      <c r="C937" s="11"/>
      <c r="D937" s="11"/>
      <c r="E937" s="11"/>
      <c r="F937" s="11"/>
      <c r="G937" s="11"/>
      <c r="H937" s="11"/>
      <c r="I937" s="11"/>
      <c r="J937" s="15"/>
      <c r="K937" s="15"/>
      <c r="L937" s="11"/>
      <c r="M937" s="11"/>
      <c r="N937" s="17" t="str">
        <f aca="false">IF(OR(J937="",K937="",J937=0),"",(J937-K937)/J937)</f>
        <v/>
      </c>
      <c r="O937" s="11"/>
    </row>
    <row r="938" customFormat="false" ht="15" hidden="false" customHeight="false" outlineLevel="0" collapsed="false">
      <c r="A938" s="11"/>
      <c r="B938" s="11"/>
      <c r="C938" s="11"/>
      <c r="D938" s="11"/>
      <c r="E938" s="11"/>
      <c r="F938" s="11"/>
      <c r="G938" s="11"/>
      <c r="H938" s="11"/>
      <c r="I938" s="11"/>
      <c r="J938" s="15"/>
      <c r="K938" s="15"/>
      <c r="L938" s="11"/>
      <c r="M938" s="11"/>
      <c r="N938" s="17" t="str">
        <f aca="false">IF(OR(J938="",K938="",J938=0),"",(J938-K938)/J938)</f>
        <v/>
      </c>
      <c r="O938" s="11"/>
    </row>
    <row r="939" customFormat="false" ht="15" hidden="false" customHeight="false" outlineLevel="0" collapsed="false">
      <c r="A939" s="11"/>
      <c r="B939" s="11"/>
      <c r="C939" s="11"/>
      <c r="D939" s="11"/>
      <c r="E939" s="11"/>
      <c r="F939" s="11"/>
      <c r="G939" s="11"/>
      <c r="H939" s="11"/>
      <c r="I939" s="11"/>
      <c r="J939" s="15"/>
      <c r="K939" s="15"/>
      <c r="L939" s="11"/>
      <c r="M939" s="11"/>
      <c r="N939" s="17" t="str">
        <f aca="false">IF(OR(J939="",K939="",J939=0),"",(J939-K939)/J939)</f>
        <v/>
      </c>
      <c r="O939" s="11"/>
    </row>
    <row r="940" customFormat="false" ht="15" hidden="false" customHeight="false" outlineLevel="0" collapsed="false">
      <c r="A940" s="11"/>
      <c r="B940" s="11"/>
      <c r="C940" s="11"/>
      <c r="D940" s="11"/>
      <c r="E940" s="11"/>
      <c r="F940" s="11"/>
      <c r="G940" s="11"/>
      <c r="H940" s="11"/>
      <c r="I940" s="11"/>
      <c r="J940" s="15"/>
      <c r="K940" s="15"/>
      <c r="L940" s="11"/>
      <c r="M940" s="11"/>
      <c r="N940" s="17" t="str">
        <f aca="false">IF(OR(J940="",K940="",J940=0),"",(J940-K940)/J940)</f>
        <v/>
      </c>
      <c r="O940" s="11"/>
    </row>
    <row r="941" customFormat="false" ht="15" hidden="false" customHeight="false" outlineLevel="0" collapsed="false">
      <c r="A941" s="11"/>
      <c r="B941" s="11"/>
      <c r="C941" s="11"/>
      <c r="D941" s="11"/>
      <c r="E941" s="11"/>
      <c r="F941" s="11"/>
      <c r="G941" s="11"/>
      <c r="H941" s="11"/>
      <c r="I941" s="11"/>
      <c r="J941" s="15"/>
      <c r="K941" s="15"/>
      <c r="L941" s="11"/>
      <c r="M941" s="11"/>
      <c r="N941" s="17" t="str">
        <f aca="false">IF(OR(J941="",K941="",J941=0),"",(J941-K941)/J941)</f>
        <v/>
      </c>
      <c r="O941" s="11"/>
    </row>
    <row r="942" customFormat="false" ht="15" hidden="false" customHeight="false" outlineLevel="0" collapsed="false">
      <c r="A942" s="11"/>
      <c r="B942" s="11"/>
      <c r="C942" s="11"/>
      <c r="D942" s="11"/>
      <c r="E942" s="11"/>
      <c r="F942" s="11"/>
      <c r="G942" s="11"/>
      <c r="H942" s="11"/>
      <c r="I942" s="11"/>
      <c r="J942" s="15"/>
      <c r="K942" s="15"/>
      <c r="L942" s="11"/>
      <c r="M942" s="11"/>
      <c r="N942" s="17" t="str">
        <f aca="false">IF(OR(J942="",K942="",J942=0),"",(J942-K942)/J942)</f>
        <v/>
      </c>
      <c r="O942" s="11"/>
    </row>
    <row r="943" customFormat="false" ht="15" hidden="false" customHeight="false" outlineLevel="0" collapsed="false">
      <c r="A943" s="11"/>
      <c r="B943" s="11"/>
      <c r="C943" s="11"/>
      <c r="D943" s="11"/>
      <c r="E943" s="11"/>
      <c r="F943" s="11"/>
      <c r="G943" s="11"/>
      <c r="H943" s="11"/>
      <c r="I943" s="11"/>
      <c r="J943" s="15"/>
      <c r="K943" s="15"/>
      <c r="L943" s="11"/>
      <c r="M943" s="11"/>
      <c r="N943" s="17" t="str">
        <f aca="false">IF(OR(J943="",K943="",J943=0),"",(J943-K943)/J943)</f>
        <v/>
      </c>
      <c r="O943" s="11"/>
    </row>
    <row r="944" customFormat="false" ht="15" hidden="false" customHeight="false" outlineLevel="0" collapsed="false">
      <c r="A944" s="11"/>
      <c r="B944" s="11"/>
      <c r="C944" s="11"/>
      <c r="D944" s="11"/>
      <c r="E944" s="11"/>
      <c r="F944" s="11"/>
      <c r="G944" s="11"/>
      <c r="H944" s="11"/>
      <c r="I944" s="11"/>
      <c r="J944" s="15"/>
      <c r="K944" s="15"/>
      <c r="L944" s="11"/>
      <c r="M944" s="11"/>
      <c r="N944" s="17" t="str">
        <f aca="false">IF(OR(J944="",K944="",J944=0),"",(J944-K944)/J944)</f>
        <v/>
      </c>
      <c r="O944" s="11"/>
    </row>
    <row r="945" customFormat="false" ht="15" hidden="false" customHeight="false" outlineLevel="0" collapsed="false">
      <c r="A945" s="11"/>
      <c r="B945" s="11"/>
      <c r="C945" s="11"/>
      <c r="D945" s="11"/>
      <c r="E945" s="11"/>
      <c r="F945" s="11"/>
      <c r="G945" s="11"/>
      <c r="H945" s="11"/>
      <c r="I945" s="11"/>
      <c r="J945" s="15"/>
      <c r="K945" s="15"/>
      <c r="L945" s="11"/>
      <c r="M945" s="11"/>
      <c r="N945" s="17" t="str">
        <f aca="false">IF(OR(J945="",K945="",J945=0),"",(J945-K945)/J945)</f>
        <v/>
      </c>
      <c r="O945" s="11"/>
    </row>
    <row r="946" customFormat="false" ht="15" hidden="false" customHeight="false" outlineLevel="0" collapsed="false">
      <c r="A946" s="11"/>
      <c r="B946" s="11"/>
      <c r="C946" s="11"/>
      <c r="D946" s="11"/>
      <c r="E946" s="11"/>
      <c r="F946" s="11"/>
      <c r="G946" s="11"/>
      <c r="H946" s="11"/>
      <c r="I946" s="11"/>
      <c r="J946" s="15"/>
      <c r="K946" s="15"/>
      <c r="L946" s="11"/>
      <c r="M946" s="11"/>
      <c r="N946" s="17" t="str">
        <f aca="false">IF(OR(J946="",K946="",J946=0),"",(J946-K946)/J946)</f>
        <v/>
      </c>
      <c r="O946" s="11"/>
    </row>
    <row r="947" customFormat="false" ht="15" hidden="false" customHeight="false" outlineLevel="0" collapsed="false">
      <c r="A947" s="11"/>
      <c r="B947" s="11"/>
      <c r="C947" s="11"/>
      <c r="D947" s="11"/>
      <c r="E947" s="11"/>
      <c r="F947" s="11"/>
      <c r="G947" s="11"/>
      <c r="H947" s="11"/>
      <c r="I947" s="11"/>
      <c r="J947" s="15"/>
      <c r="K947" s="15"/>
      <c r="L947" s="11"/>
      <c r="M947" s="11"/>
      <c r="N947" s="17" t="str">
        <f aca="false">IF(OR(J947="",K947="",J947=0),"",(J947-K947)/J947)</f>
        <v/>
      </c>
      <c r="O947" s="11"/>
    </row>
    <row r="948" customFormat="false" ht="15" hidden="false" customHeight="false" outlineLevel="0" collapsed="false">
      <c r="A948" s="11"/>
      <c r="B948" s="11"/>
      <c r="C948" s="11"/>
      <c r="D948" s="11"/>
      <c r="E948" s="11"/>
      <c r="F948" s="11"/>
      <c r="G948" s="11"/>
      <c r="H948" s="11"/>
      <c r="I948" s="11"/>
      <c r="J948" s="15"/>
      <c r="K948" s="15"/>
      <c r="L948" s="11"/>
      <c r="M948" s="11"/>
      <c r="N948" s="17" t="str">
        <f aca="false">IF(OR(J948="",K948="",J948=0),"",(J948-K948)/J948)</f>
        <v/>
      </c>
      <c r="O948" s="11"/>
    </row>
    <row r="949" customFormat="false" ht="15" hidden="false" customHeight="false" outlineLevel="0" collapsed="false">
      <c r="A949" s="11"/>
      <c r="B949" s="11"/>
      <c r="C949" s="11"/>
      <c r="D949" s="11"/>
      <c r="E949" s="11"/>
      <c r="F949" s="11"/>
      <c r="G949" s="11"/>
      <c r="H949" s="11"/>
      <c r="I949" s="11"/>
      <c r="J949" s="15"/>
      <c r="K949" s="15"/>
      <c r="L949" s="11"/>
      <c r="M949" s="11"/>
      <c r="N949" s="17" t="str">
        <f aca="false">IF(OR(J949="",K949="",J949=0),"",(J949-K949)/J949)</f>
        <v/>
      </c>
      <c r="O949" s="11"/>
    </row>
    <row r="950" customFormat="false" ht="15" hidden="false" customHeight="false" outlineLevel="0" collapsed="false">
      <c r="A950" s="11"/>
      <c r="B950" s="11"/>
      <c r="C950" s="11"/>
      <c r="D950" s="11"/>
      <c r="E950" s="11"/>
      <c r="F950" s="11"/>
      <c r="G950" s="11"/>
      <c r="H950" s="11"/>
      <c r="I950" s="11"/>
      <c r="J950" s="15"/>
      <c r="K950" s="15"/>
      <c r="L950" s="11"/>
      <c r="M950" s="11"/>
      <c r="N950" s="17" t="str">
        <f aca="false">IF(OR(J950="",K950="",J950=0),"",(J950-K950)/J950)</f>
        <v/>
      </c>
      <c r="O950" s="11"/>
    </row>
    <row r="951" customFormat="false" ht="15" hidden="false" customHeight="false" outlineLevel="0" collapsed="false">
      <c r="A951" s="11"/>
      <c r="B951" s="11"/>
      <c r="C951" s="11"/>
      <c r="D951" s="11"/>
      <c r="E951" s="11"/>
      <c r="F951" s="11"/>
      <c r="G951" s="11"/>
      <c r="H951" s="11"/>
      <c r="I951" s="11"/>
      <c r="J951" s="15"/>
      <c r="K951" s="15"/>
      <c r="L951" s="11"/>
      <c r="M951" s="11"/>
      <c r="N951" s="17" t="str">
        <f aca="false">IF(OR(J951="",K951="",J951=0),"",(J951-K951)/J951)</f>
        <v/>
      </c>
      <c r="O951" s="11"/>
    </row>
    <row r="952" customFormat="false" ht="15" hidden="false" customHeight="false" outlineLevel="0" collapsed="false">
      <c r="A952" s="11"/>
      <c r="B952" s="11"/>
      <c r="C952" s="11"/>
      <c r="D952" s="11"/>
      <c r="E952" s="11"/>
      <c r="F952" s="11"/>
      <c r="G952" s="11"/>
      <c r="H952" s="11"/>
      <c r="I952" s="11"/>
      <c r="J952" s="15"/>
      <c r="K952" s="15"/>
      <c r="L952" s="11"/>
      <c r="M952" s="11"/>
      <c r="N952" s="17" t="str">
        <f aca="false">IF(OR(J952="",K952="",J952=0),"",(J952-K952)/J952)</f>
        <v/>
      </c>
      <c r="O952" s="11"/>
    </row>
    <row r="953" customFormat="false" ht="15" hidden="false" customHeight="false" outlineLevel="0" collapsed="false">
      <c r="A953" s="11"/>
      <c r="B953" s="11"/>
      <c r="C953" s="11"/>
      <c r="D953" s="11"/>
      <c r="E953" s="11"/>
      <c r="F953" s="11"/>
      <c r="G953" s="11"/>
      <c r="H953" s="11"/>
      <c r="I953" s="11"/>
      <c r="J953" s="15"/>
      <c r="K953" s="15"/>
      <c r="L953" s="11"/>
      <c r="M953" s="11"/>
      <c r="N953" s="17" t="str">
        <f aca="false">IF(OR(J953="",K953="",J953=0),"",(J953-K953)/J953)</f>
        <v/>
      </c>
      <c r="O953" s="11"/>
    </row>
    <row r="954" customFormat="false" ht="15" hidden="false" customHeight="false" outlineLevel="0" collapsed="false">
      <c r="A954" s="11"/>
      <c r="B954" s="11"/>
      <c r="C954" s="11"/>
      <c r="D954" s="11"/>
      <c r="E954" s="11"/>
      <c r="F954" s="11"/>
      <c r="G954" s="11"/>
      <c r="H954" s="11"/>
      <c r="I954" s="11"/>
      <c r="J954" s="15"/>
      <c r="K954" s="15"/>
      <c r="L954" s="11"/>
      <c r="M954" s="11"/>
      <c r="N954" s="17" t="str">
        <f aca="false">IF(OR(J954="",K954="",J954=0),"",(J954-K954)/J954)</f>
        <v/>
      </c>
      <c r="O954" s="11"/>
    </row>
    <row r="955" customFormat="false" ht="15" hidden="false" customHeight="false" outlineLevel="0" collapsed="false">
      <c r="A955" s="11"/>
      <c r="B955" s="11"/>
      <c r="C955" s="11"/>
      <c r="D955" s="11"/>
      <c r="E955" s="11"/>
      <c r="F955" s="11"/>
      <c r="G955" s="11"/>
      <c r="H955" s="11"/>
      <c r="I955" s="11"/>
      <c r="J955" s="15"/>
      <c r="K955" s="15"/>
      <c r="L955" s="11"/>
      <c r="M955" s="11"/>
      <c r="N955" s="17" t="str">
        <f aca="false">IF(OR(J955="",K955="",J955=0),"",(J955-K955)/J955)</f>
        <v/>
      </c>
      <c r="O955" s="11"/>
    </row>
    <row r="956" customFormat="false" ht="15" hidden="false" customHeight="false" outlineLevel="0" collapsed="false">
      <c r="A956" s="11"/>
      <c r="B956" s="11"/>
      <c r="C956" s="11"/>
      <c r="D956" s="11"/>
      <c r="E956" s="11"/>
      <c r="F956" s="11"/>
      <c r="G956" s="11"/>
      <c r="H956" s="11"/>
      <c r="I956" s="11"/>
      <c r="J956" s="15"/>
      <c r="K956" s="15"/>
      <c r="L956" s="11"/>
      <c r="M956" s="11"/>
      <c r="N956" s="17" t="str">
        <f aca="false">IF(OR(J956="",K956="",J956=0),"",(J956-K956)/J956)</f>
        <v/>
      </c>
      <c r="O956" s="11"/>
    </row>
    <row r="957" customFormat="false" ht="15" hidden="false" customHeight="false" outlineLevel="0" collapsed="false">
      <c r="A957" s="11"/>
      <c r="B957" s="11"/>
      <c r="C957" s="11"/>
      <c r="D957" s="11"/>
      <c r="E957" s="11"/>
      <c r="F957" s="11"/>
      <c r="G957" s="11"/>
      <c r="H957" s="11"/>
      <c r="I957" s="11"/>
      <c r="J957" s="15"/>
      <c r="K957" s="15"/>
      <c r="L957" s="11"/>
      <c r="M957" s="11"/>
      <c r="N957" s="17" t="str">
        <f aca="false">IF(OR(J957="",K957="",J957=0),"",(J957-K957)/J957)</f>
        <v/>
      </c>
      <c r="O957" s="11"/>
    </row>
    <row r="958" customFormat="false" ht="15" hidden="false" customHeight="false" outlineLevel="0" collapsed="false">
      <c r="A958" s="11"/>
      <c r="B958" s="11"/>
      <c r="C958" s="11"/>
      <c r="D958" s="11"/>
      <c r="E958" s="11"/>
      <c r="F958" s="11"/>
      <c r="G958" s="11"/>
      <c r="H958" s="11"/>
      <c r="I958" s="11"/>
      <c r="J958" s="15"/>
      <c r="K958" s="15"/>
      <c r="L958" s="11"/>
      <c r="M958" s="11"/>
      <c r="N958" s="17" t="str">
        <f aca="false">IF(OR(J958="",K958="",J958=0),"",(J958-K958)/J958)</f>
        <v/>
      </c>
      <c r="O958" s="11"/>
    </row>
    <row r="959" customFormat="false" ht="15" hidden="false" customHeight="false" outlineLevel="0" collapsed="false">
      <c r="A959" s="11"/>
      <c r="B959" s="11"/>
      <c r="C959" s="11"/>
      <c r="D959" s="11"/>
      <c r="E959" s="11"/>
      <c r="F959" s="11"/>
      <c r="G959" s="11"/>
      <c r="H959" s="11"/>
      <c r="I959" s="11"/>
      <c r="J959" s="15"/>
      <c r="K959" s="15"/>
      <c r="L959" s="11"/>
      <c r="M959" s="11"/>
      <c r="N959" s="17" t="str">
        <f aca="false">IF(OR(J959="",K959="",J959=0),"",(J959-K959)/J959)</f>
        <v/>
      </c>
      <c r="O959" s="11"/>
    </row>
    <row r="960" customFormat="false" ht="15" hidden="false" customHeight="false" outlineLevel="0" collapsed="false">
      <c r="A960" s="11"/>
      <c r="B960" s="11"/>
      <c r="C960" s="11"/>
      <c r="D960" s="11"/>
      <c r="E960" s="11"/>
      <c r="F960" s="11"/>
      <c r="G960" s="11"/>
      <c r="H960" s="11"/>
      <c r="I960" s="11"/>
      <c r="J960" s="15"/>
      <c r="K960" s="15"/>
      <c r="L960" s="11"/>
      <c r="M960" s="11"/>
      <c r="N960" s="17" t="str">
        <f aca="false">IF(OR(J960="",K960="",J960=0),"",(J960-K960)/J960)</f>
        <v/>
      </c>
      <c r="O960" s="11"/>
    </row>
    <row r="961" customFormat="false" ht="15" hidden="false" customHeight="false" outlineLevel="0" collapsed="false">
      <c r="A961" s="11"/>
      <c r="B961" s="11"/>
      <c r="C961" s="11"/>
      <c r="D961" s="11"/>
      <c r="E961" s="11"/>
      <c r="F961" s="11"/>
      <c r="G961" s="11"/>
      <c r="H961" s="11"/>
      <c r="I961" s="11"/>
      <c r="J961" s="15"/>
      <c r="K961" s="15"/>
      <c r="L961" s="11"/>
      <c r="M961" s="11"/>
      <c r="N961" s="17" t="str">
        <f aca="false">IF(OR(J961="",K961="",J961=0),"",(J961-K961)/J961)</f>
        <v/>
      </c>
      <c r="O961" s="11"/>
    </row>
    <row r="962" customFormat="false" ht="15" hidden="false" customHeight="false" outlineLevel="0" collapsed="false">
      <c r="A962" s="11"/>
      <c r="B962" s="11"/>
      <c r="C962" s="11"/>
      <c r="D962" s="11"/>
      <c r="E962" s="11"/>
      <c r="F962" s="11"/>
      <c r="G962" s="11"/>
      <c r="H962" s="11"/>
      <c r="I962" s="11"/>
      <c r="J962" s="15"/>
      <c r="K962" s="15"/>
      <c r="L962" s="11"/>
      <c r="M962" s="11"/>
      <c r="N962" s="17" t="str">
        <f aca="false">IF(OR(J962="",K962="",J962=0),"",(J962-K962)/J962)</f>
        <v/>
      </c>
      <c r="O962" s="11"/>
    </row>
    <row r="963" customFormat="false" ht="15" hidden="false" customHeight="false" outlineLevel="0" collapsed="false">
      <c r="A963" s="11"/>
      <c r="B963" s="11"/>
      <c r="C963" s="11"/>
      <c r="D963" s="11"/>
      <c r="E963" s="11"/>
      <c r="F963" s="11"/>
      <c r="G963" s="11"/>
      <c r="H963" s="11"/>
      <c r="I963" s="11"/>
      <c r="J963" s="15"/>
      <c r="K963" s="15"/>
      <c r="L963" s="11"/>
      <c r="M963" s="11"/>
      <c r="N963" s="17" t="str">
        <f aca="false">IF(OR(J963="",K963="",J963=0),"",(J963-K963)/J963)</f>
        <v/>
      </c>
      <c r="O963" s="11"/>
    </row>
    <row r="964" customFormat="false" ht="15" hidden="false" customHeight="false" outlineLevel="0" collapsed="false">
      <c r="A964" s="11"/>
      <c r="B964" s="11"/>
      <c r="C964" s="11"/>
      <c r="D964" s="11"/>
      <c r="E964" s="11"/>
      <c r="F964" s="11"/>
      <c r="G964" s="11"/>
      <c r="H964" s="11"/>
      <c r="I964" s="11"/>
      <c r="J964" s="15"/>
      <c r="K964" s="15"/>
      <c r="L964" s="11"/>
      <c r="M964" s="11"/>
      <c r="N964" s="17" t="str">
        <f aca="false">IF(OR(J964="",K964="",J964=0),"",(J964-K964)/J964)</f>
        <v/>
      </c>
      <c r="O964" s="11"/>
    </row>
    <row r="965" customFormat="false" ht="15" hidden="false" customHeight="false" outlineLevel="0" collapsed="false">
      <c r="A965" s="11"/>
      <c r="B965" s="11"/>
      <c r="C965" s="11"/>
      <c r="D965" s="11"/>
      <c r="E965" s="11"/>
      <c r="F965" s="11"/>
      <c r="G965" s="11"/>
      <c r="H965" s="11"/>
      <c r="I965" s="11"/>
      <c r="J965" s="15"/>
      <c r="K965" s="15"/>
      <c r="L965" s="11"/>
      <c r="M965" s="11"/>
      <c r="N965" s="17" t="str">
        <f aca="false">IF(OR(J965="",K965="",J965=0),"",(J965-K965)/J965)</f>
        <v/>
      </c>
      <c r="O965" s="11"/>
    </row>
    <row r="966" customFormat="false" ht="15" hidden="false" customHeight="false" outlineLevel="0" collapsed="false">
      <c r="A966" s="11"/>
      <c r="B966" s="11"/>
      <c r="C966" s="11"/>
      <c r="D966" s="11"/>
      <c r="E966" s="11"/>
      <c r="F966" s="11"/>
      <c r="G966" s="11"/>
      <c r="H966" s="11"/>
      <c r="I966" s="11"/>
      <c r="J966" s="15"/>
      <c r="K966" s="15"/>
      <c r="L966" s="11"/>
      <c r="M966" s="11"/>
      <c r="N966" s="17" t="str">
        <f aca="false">IF(OR(J966="",K966="",J966=0),"",(J966-K966)/J966)</f>
        <v/>
      </c>
      <c r="O966" s="11"/>
    </row>
    <row r="967" customFormat="false" ht="15" hidden="false" customHeight="false" outlineLevel="0" collapsed="false">
      <c r="A967" s="11"/>
      <c r="B967" s="11"/>
      <c r="C967" s="11"/>
      <c r="D967" s="11"/>
      <c r="E967" s="11"/>
      <c r="F967" s="11"/>
      <c r="G967" s="11"/>
      <c r="H967" s="11"/>
      <c r="I967" s="11"/>
      <c r="J967" s="15"/>
      <c r="K967" s="15"/>
      <c r="L967" s="11"/>
      <c r="M967" s="11"/>
      <c r="N967" s="17" t="str">
        <f aca="false">IF(OR(J967="",K967="",J967=0),"",(J967-K967)/J967)</f>
        <v/>
      </c>
      <c r="O967" s="11"/>
    </row>
    <row r="968" customFormat="false" ht="15" hidden="false" customHeight="false" outlineLevel="0" collapsed="false">
      <c r="A968" s="11"/>
      <c r="B968" s="11"/>
      <c r="C968" s="11"/>
      <c r="D968" s="11"/>
      <c r="E968" s="11"/>
      <c r="F968" s="11"/>
      <c r="G968" s="11"/>
      <c r="H968" s="11"/>
      <c r="I968" s="11"/>
      <c r="J968" s="15"/>
      <c r="K968" s="15"/>
      <c r="L968" s="11"/>
      <c r="M968" s="11"/>
      <c r="N968" s="17" t="str">
        <f aca="false">IF(OR(J968="",K968="",J968=0),"",(J968-K968)/J968)</f>
        <v/>
      </c>
      <c r="O968" s="11"/>
    </row>
    <row r="969" customFormat="false" ht="15" hidden="false" customHeight="false" outlineLevel="0" collapsed="false">
      <c r="A969" s="11"/>
      <c r="B969" s="11"/>
      <c r="C969" s="11"/>
      <c r="D969" s="11"/>
      <c r="E969" s="11"/>
      <c r="F969" s="11"/>
      <c r="G969" s="11"/>
      <c r="H969" s="11"/>
      <c r="I969" s="11"/>
      <c r="J969" s="15"/>
      <c r="K969" s="15"/>
      <c r="L969" s="11"/>
      <c r="M969" s="11"/>
      <c r="N969" s="17" t="str">
        <f aca="false">IF(OR(J969="",K969="",J969=0),"",(J969-K969)/J969)</f>
        <v/>
      </c>
      <c r="O969" s="11"/>
    </row>
    <row r="970" customFormat="false" ht="15" hidden="false" customHeight="false" outlineLevel="0" collapsed="false">
      <c r="A970" s="11"/>
      <c r="B970" s="11"/>
      <c r="C970" s="11"/>
      <c r="D970" s="11"/>
      <c r="E970" s="11"/>
      <c r="F970" s="11"/>
      <c r="G970" s="11"/>
      <c r="H970" s="11"/>
      <c r="I970" s="11"/>
      <c r="J970" s="15"/>
      <c r="K970" s="15"/>
      <c r="L970" s="11"/>
      <c r="M970" s="11"/>
      <c r="N970" s="17" t="str">
        <f aca="false">IF(OR(J970="",K970="",J970=0),"",(J970-K970)/J970)</f>
        <v/>
      </c>
      <c r="O970" s="11"/>
    </row>
    <row r="971" customFormat="false" ht="15" hidden="false" customHeight="false" outlineLevel="0" collapsed="false">
      <c r="A971" s="11"/>
      <c r="B971" s="11"/>
      <c r="C971" s="11"/>
      <c r="D971" s="11"/>
      <c r="E971" s="11"/>
      <c r="F971" s="11"/>
      <c r="G971" s="11"/>
      <c r="H971" s="11"/>
      <c r="I971" s="11"/>
      <c r="J971" s="15"/>
      <c r="K971" s="15"/>
      <c r="L971" s="11"/>
      <c r="M971" s="11"/>
      <c r="N971" s="17" t="str">
        <f aca="false">IF(OR(J971="",K971="",J971=0),"",(J971-K971)/J971)</f>
        <v/>
      </c>
      <c r="O971" s="11"/>
    </row>
    <row r="972" customFormat="false" ht="15" hidden="false" customHeight="false" outlineLevel="0" collapsed="false">
      <c r="A972" s="11"/>
      <c r="B972" s="11"/>
      <c r="C972" s="11"/>
      <c r="D972" s="11"/>
      <c r="E972" s="11"/>
      <c r="F972" s="11"/>
      <c r="G972" s="11"/>
      <c r="H972" s="11"/>
      <c r="I972" s="11"/>
      <c r="J972" s="15"/>
      <c r="K972" s="15"/>
      <c r="L972" s="11"/>
      <c r="M972" s="11"/>
      <c r="N972" s="17" t="str">
        <f aca="false">IF(OR(J972="",K972="",J972=0),"",(J972-K972)/J972)</f>
        <v/>
      </c>
      <c r="O972" s="11"/>
    </row>
    <row r="973" customFormat="false" ht="15" hidden="false" customHeight="false" outlineLevel="0" collapsed="false">
      <c r="A973" s="11"/>
      <c r="B973" s="11"/>
      <c r="C973" s="11"/>
      <c r="D973" s="11"/>
      <c r="E973" s="11"/>
      <c r="F973" s="11"/>
      <c r="G973" s="11"/>
      <c r="H973" s="11"/>
      <c r="I973" s="11"/>
      <c r="J973" s="15"/>
      <c r="K973" s="15"/>
      <c r="L973" s="11"/>
      <c r="M973" s="11"/>
      <c r="N973" s="17" t="str">
        <f aca="false">IF(OR(J973="",K973="",J973=0),"",(J973-K973)/J973)</f>
        <v/>
      </c>
      <c r="O973" s="11"/>
    </row>
    <row r="974" customFormat="false" ht="15" hidden="false" customHeight="false" outlineLevel="0" collapsed="false">
      <c r="A974" s="11"/>
      <c r="B974" s="11"/>
      <c r="C974" s="11"/>
      <c r="D974" s="11"/>
      <c r="E974" s="11"/>
      <c r="F974" s="11"/>
      <c r="G974" s="11"/>
      <c r="H974" s="11"/>
      <c r="I974" s="11"/>
      <c r="J974" s="15"/>
      <c r="K974" s="15"/>
      <c r="L974" s="11"/>
      <c r="M974" s="11"/>
      <c r="N974" s="17" t="str">
        <f aca="false">IF(OR(J974="",K974="",J974=0),"",(J974-K974)/J974)</f>
        <v/>
      </c>
      <c r="O974" s="11"/>
    </row>
    <row r="975" customFormat="false" ht="15" hidden="false" customHeight="false" outlineLevel="0" collapsed="false">
      <c r="A975" s="11"/>
      <c r="B975" s="11"/>
      <c r="C975" s="11"/>
      <c r="D975" s="11"/>
      <c r="E975" s="11"/>
      <c r="F975" s="11"/>
      <c r="G975" s="11"/>
      <c r="H975" s="11"/>
      <c r="I975" s="11"/>
      <c r="J975" s="15"/>
      <c r="K975" s="15"/>
      <c r="L975" s="11"/>
      <c r="M975" s="11"/>
      <c r="N975" s="17" t="str">
        <f aca="false">IF(OR(J975="",K975="",J975=0),"",(J975-K975)/J975)</f>
        <v/>
      </c>
      <c r="O975" s="11"/>
    </row>
    <row r="976" customFormat="false" ht="15" hidden="false" customHeight="false" outlineLevel="0" collapsed="false">
      <c r="A976" s="11"/>
      <c r="B976" s="11"/>
      <c r="C976" s="11"/>
      <c r="D976" s="11"/>
      <c r="E976" s="11"/>
      <c r="F976" s="11"/>
      <c r="G976" s="11"/>
      <c r="H976" s="11"/>
      <c r="I976" s="11"/>
      <c r="J976" s="15"/>
      <c r="K976" s="15"/>
      <c r="L976" s="11"/>
      <c r="M976" s="11"/>
      <c r="N976" s="17" t="str">
        <f aca="false">IF(OR(J976="",K976="",J976=0),"",(J976-K976)/J976)</f>
        <v/>
      </c>
      <c r="O976" s="11"/>
    </row>
    <row r="977" customFormat="false" ht="15" hidden="false" customHeight="false" outlineLevel="0" collapsed="false">
      <c r="A977" s="11"/>
      <c r="B977" s="11"/>
      <c r="C977" s="11"/>
      <c r="D977" s="11"/>
      <c r="E977" s="11"/>
      <c r="F977" s="11"/>
      <c r="G977" s="11"/>
      <c r="H977" s="11"/>
      <c r="I977" s="11"/>
      <c r="J977" s="15"/>
      <c r="K977" s="15"/>
      <c r="L977" s="11"/>
      <c r="M977" s="11"/>
      <c r="N977" s="17" t="str">
        <f aca="false">IF(OR(J977="",K977="",J977=0),"",(J977-K977)/J977)</f>
        <v/>
      </c>
      <c r="O977" s="11"/>
    </row>
    <row r="978" customFormat="false" ht="15" hidden="false" customHeight="false" outlineLevel="0" collapsed="false">
      <c r="A978" s="11"/>
      <c r="B978" s="11"/>
      <c r="C978" s="11"/>
      <c r="D978" s="11"/>
      <c r="E978" s="11"/>
      <c r="F978" s="11"/>
      <c r="G978" s="11"/>
      <c r="H978" s="11"/>
      <c r="I978" s="11"/>
      <c r="J978" s="15"/>
      <c r="K978" s="15"/>
      <c r="L978" s="11"/>
      <c r="M978" s="11"/>
      <c r="N978" s="17" t="str">
        <f aca="false">IF(OR(J978="",K978="",J978=0),"",(J978-K978)/J978)</f>
        <v/>
      </c>
      <c r="O978" s="11"/>
    </row>
    <row r="979" customFormat="false" ht="15" hidden="false" customHeight="false" outlineLevel="0" collapsed="false">
      <c r="A979" s="11"/>
      <c r="B979" s="11"/>
      <c r="C979" s="11"/>
      <c r="D979" s="11"/>
      <c r="E979" s="11"/>
      <c r="F979" s="11"/>
      <c r="G979" s="11"/>
      <c r="H979" s="11"/>
      <c r="I979" s="11"/>
      <c r="J979" s="15"/>
      <c r="K979" s="15"/>
      <c r="L979" s="11"/>
      <c r="M979" s="11"/>
      <c r="N979" s="17" t="str">
        <f aca="false">IF(OR(J979="",K979="",J979=0),"",(J979-K979)/J979)</f>
        <v/>
      </c>
      <c r="O979" s="11"/>
    </row>
    <row r="980" customFormat="false" ht="15" hidden="false" customHeight="false" outlineLevel="0" collapsed="false">
      <c r="A980" s="11"/>
      <c r="B980" s="11"/>
      <c r="C980" s="11"/>
      <c r="D980" s="11"/>
      <c r="E980" s="11"/>
      <c r="F980" s="11"/>
      <c r="G980" s="11"/>
      <c r="H980" s="11"/>
      <c r="I980" s="11"/>
      <c r="J980" s="15"/>
      <c r="K980" s="15"/>
      <c r="L980" s="11"/>
      <c r="M980" s="11"/>
      <c r="N980" s="17" t="str">
        <f aca="false">IF(OR(J980="",K980="",J980=0),"",(J980-K980)/J980)</f>
        <v/>
      </c>
      <c r="O980" s="11"/>
    </row>
    <row r="981" customFormat="false" ht="15" hidden="false" customHeight="false" outlineLevel="0" collapsed="false">
      <c r="A981" s="11"/>
      <c r="B981" s="11"/>
      <c r="C981" s="11"/>
      <c r="D981" s="11"/>
      <c r="E981" s="11"/>
      <c r="F981" s="11"/>
      <c r="G981" s="11"/>
      <c r="H981" s="11"/>
      <c r="I981" s="11"/>
      <c r="J981" s="15"/>
      <c r="K981" s="15"/>
      <c r="L981" s="11"/>
      <c r="M981" s="11"/>
      <c r="N981" s="17" t="str">
        <f aca="false">IF(OR(J981="",K981="",J981=0),"",(J981-K981)/J981)</f>
        <v/>
      </c>
      <c r="O981" s="11"/>
    </row>
    <row r="982" customFormat="false" ht="15" hidden="false" customHeight="false" outlineLevel="0" collapsed="false">
      <c r="A982" s="11"/>
      <c r="B982" s="11"/>
      <c r="C982" s="11"/>
      <c r="D982" s="11"/>
      <c r="E982" s="11"/>
      <c r="F982" s="11"/>
      <c r="G982" s="11"/>
      <c r="H982" s="11"/>
      <c r="I982" s="11"/>
      <c r="J982" s="15"/>
      <c r="K982" s="15"/>
      <c r="L982" s="11"/>
      <c r="M982" s="11"/>
      <c r="N982" s="17" t="str">
        <f aca="false">IF(OR(J982="",K982="",J982=0),"",(J982-K982)/J982)</f>
        <v/>
      </c>
      <c r="O982" s="11"/>
    </row>
    <row r="983" customFormat="false" ht="15" hidden="false" customHeight="false" outlineLevel="0" collapsed="false">
      <c r="A983" s="11"/>
      <c r="B983" s="11"/>
      <c r="C983" s="11"/>
      <c r="D983" s="11"/>
      <c r="E983" s="11"/>
      <c r="F983" s="11"/>
      <c r="G983" s="11"/>
      <c r="H983" s="11"/>
      <c r="I983" s="11"/>
      <c r="J983" s="15"/>
      <c r="K983" s="15"/>
      <c r="L983" s="11"/>
      <c r="M983" s="11"/>
      <c r="N983" s="17" t="str">
        <f aca="false">IF(OR(J983="",K983="",J983=0),"",(J983-K983)/J983)</f>
        <v/>
      </c>
      <c r="O983" s="11"/>
    </row>
    <row r="984" customFormat="false" ht="15" hidden="false" customHeight="false" outlineLevel="0" collapsed="false">
      <c r="A984" s="11"/>
      <c r="B984" s="11"/>
      <c r="C984" s="11"/>
      <c r="D984" s="11"/>
      <c r="E984" s="11"/>
      <c r="F984" s="11"/>
      <c r="G984" s="11"/>
      <c r="H984" s="11"/>
      <c r="I984" s="11"/>
      <c r="J984" s="15"/>
      <c r="K984" s="15"/>
      <c r="L984" s="11"/>
      <c r="M984" s="11"/>
      <c r="N984" s="17" t="str">
        <f aca="false">IF(OR(J984="",K984="",J984=0),"",(J984-K984)/J984)</f>
        <v/>
      </c>
      <c r="O984" s="11"/>
    </row>
    <row r="985" customFormat="false" ht="15" hidden="false" customHeight="false" outlineLevel="0" collapsed="false">
      <c r="A985" s="11"/>
      <c r="B985" s="11"/>
      <c r="C985" s="11"/>
      <c r="D985" s="11"/>
      <c r="E985" s="11"/>
      <c r="F985" s="11"/>
      <c r="G985" s="11"/>
      <c r="H985" s="11"/>
      <c r="I985" s="11"/>
      <c r="J985" s="15"/>
      <c r="K985" s="15"/>
      <c r="L985" s="11"/>
      <c r="M985" s="11"/>
      <c r="N985" s="17" t="str">
        <f aca="false">IF(OR(J985="",K985="",J985=0),"",(J985-K985)/J985)</f>
        <v/>
      </c>
      <c r="O985" s="11"/>
    </row>
    <row r="986" customFormat="false" ht="15" hidden="false" customHeight="false" outlineLevel="0" collapsed="false">
      <c r="A986" s="11"/>
      <c r="B986" s="11"/>
      <c r="C986" s="11"/>
      <c r="D986" s="11"/>
      <c r="E986" s="11"/>
      <c r="F986" s="11"/>
      <c r="G986" s="11"/>
      <c r="H986" s="11"/>
      <c r="I986" s="11"/>
      <c r="J986" s="15"/>
      <c r="K986" s="15"/>
      <c r="L986" s="11"/>
      <c r="M986" s="11"/>
      <c r="N986" s="17" t="str">
        <f aca="false">IF(OR(J986="",K986="",J986=0),"",(J986-K986)/J986)</f>
        <v/>
      </c>
      <c r="O986" s="11"/>
    </row>
    <row r="987" customFormat="false" ht="15" hidden="false" customHeight="false" outlineLevel="0" collapsed="false">
      <c r="A987" s="11"/>
      <c r="B987" s="11"/>
      <c r="C987" s="11"/>
      <c r="D987" s="11"/>
      <c r="E987" s="11"/>
      <c r="F987" s="11"/>
      <c r="G987" s="11"/>
      <c r="H987" s="11"/>
      <c r="I987" s="11"/>
      <c r="J987" s="15"/>
      <c r="K987" s="15"/>
      <c r="L987" s="11"/>
      <c r="M987" s="11"/>
      <c r="N987" s="17" t="str">
        <f aca="false">IF(OR(J987="",K987="",J987=0),"",(J987-K987)/J987)</f>
        <v/>
      </c>
      <c r="O987" s="11"/>
    </row>
    <row r="988" customFormat="false" ht="15" hidden="false" customHeight="false" outlineLevel="0" collapsed="false">
      <c r="A988" s="11"/>
      <c r="B988" s="11"/>
      <c r="C988" s="11"/>
      <c r="D988" s="11"/>
      <c r="E988" s="11"/>
      <c r="F988" s="11"/>
      <c r="G988" s="11"/>
      <c r="H988" s="11"/>
      <c r="I988" s="11"/>
      <c r="J988" s="15"/>
      <c r="K988" s="15"/>
      <c r="L988" s="11"/>
      <c r="M988" s="11"/>
      <c r="N988" s="17" t="str">
        <f aca="false">IF(OR(J988="",K988="",J988=0),"",(J988-K988)/J988)</f>
        <v/>
      </c>
      <c r="O988" s="11"/>
    </row>
    <row r="989" customFormat="false" ht="15" hidden="false" customHeight="false" outlineLevel="0" collapsed="false">
      <c r="A989" s="11"/>
      <c r="B989" s="11"/>
      <c r="C989" s="11"/>
      <c r="D989" s="11"/>
      <c r="E989" s="11"/>
      <c r="F989" s="11"/>
      <c r="G989" s="11"/>
      <c r="H989" s="11"/>
      <c r="I989" s="11"/>
      <c r="J989" s="15"/>
      <c r="K989" s="15"/>
      <c r="L989" s="11"/>
      <c r="M989" s="11"/>
      <c r="N989" s="17" t="str">
        <f aca="false">IF(OR(J989="",K989="",J989=0),"",(J989-K989)/J989)</f>
        <v/>
      </c>
      <c r="O989" s="11"/>
    </row>
    <row r="990" customFormat="false" ht="15" hidden="false" customHeight="false" outlineLevel="0" collapsed="false">
      <c r="A990" s="11"/>
      <c r="B990" s="11"/>
      <c r="C990" s="11"/>
      <c r="D990" s="11"/>
      <c r="E990" s="11"/>
      <c r="F990" s="11"/>
      <c r="G990" s="11"/>
      <c r="H990" s="11"/>
      <c r="I990" s="11"/>
      <c r="J990" s="15"/>
      <c r="K990" s="15"/>
      <c r="L990" s="11"/>
      <c r="M990" s="11"/>
      <c r="N990" s="17" t="str">
        <f aca="false">IF(OR(J990="",K990="",J990=0),"",(J990-K990)/J990)</f>
        <v/>
      </c>
      <c r="O990" s="11"/>
    </row>
    <row r="991" customFormat="false" ht="15" hidden="false" customHeight="false" outlineLevel="0" collapsed="false">
      <c r="A991" s="11"/>
      <c r="B991" s="11"/>
      <c r="C991" s="11"/>
      <c r="D991" s="11"/>
      <c r="E991" s="11"/>
      <c r="F991" s="11"/>
      <c r="G991" s="11"/>
      <c r="H991" s="11"/>
      <c r="I991" s="11"/>
      <c r="J991" s="15"/>
      <c r="K991" s="15"/>
      <c r="L991" s="11"/>
      <c r="M991" s="11"/>
      <c r="N991" s="17" t="str">
        <f aca="false">IF(OR(J991="",K991="",J991=0),"",(J991-K991)/J991)</f>
        <v/>
      </c>
      <c r="O991" s="11"/>
    </row>
    <row r="992" customFormat="false" ht="15" hidden="false" customHeight="false" outlineLevel="0" collapsed="false">
      <c r="A992" s="11"/>
      <c r="B992" s="11"/>
      <c r="C992" s="11"/>
      <c r="D992" s="11"/>
      <c r="E992" s="11"/>
      <c r="F992" s="11"/>
      <c r="G992" s="11"/>
      <c r="H992" s="11"/>
      <c r="I992" s="11"/>
      <c r="J992" s="15"/>
      <c r="K992" s="15"/>
      <c r="L992" s="11"/>
      <c r="M992" s="11"/>
      <c r="N992" s="17" t="str">
        <f aca="false">IF(OR(J992="",K992="",J992=0),"",(J992-K992)/J992)</f>
        <v/>
      </c>
      <c r="O992" s="11"/>
    </row>
    <row r="993" customFormat="false" ht="15" hidden="false" customHeight="false" outlineLevel="0" collapsed="false">
      <c r="A993" s="11"/>
      <c r="B993" s="11"/>
      <c r="C993" s="11"/>
      <c r="D993" s="11"/>
      <c r="E993" s="11"/>
      <c r="F993" s="11"/>
      <c r="G993" s="11"/>
      <c r="H993" s="11"/>
      <c r="I993" s="11"/>
      <c r="J993" s="15"/>
      <c r="K993" s="15"/>
      <c r="L993" s="11"/>
      <c r="M993" s="11"/>
      <c r="N993" s="17" t="str">
        <f aca="false">IF(OR(J993="",K993="",J993=0),"",(J993-K993)/J993)</f>
        <v/>
      </c>
      <c r="O993" s="11"/>
    </row>
    <row r="994" customFormat="false" ht="15" hidden="false" customHeight="false" outlineLevel="0" collapsed="false">
      <c r="A994" s="11"/>
      <c r="B994" s="11"/>
      <c r="C994" s="11"/>
      <c r="D994" s="11"/>
      <c r="E994" s="11"/>
      <c r="F994" s="11"/>
      <c r="G994" s="11"/>
      <c r="H994" s="11"/>
      <c r="I994" s="11"/>
      <c r="J994" s="15"/>
      <c r="K994" s="15"/>
      <c r="L994" s="11"/>
      <c r="M994" s="11"/>
      <c r="N994" s="17" t="str">
        <f aca="false">IF(OR(J994="",K994="",J994=0),"",(J994-K994)/J994)</f>
        <v/>
      </c>
      <c r="O994" s="11"/>
    </row>
    <row r="995" customFormat="false" ht="15" hidden="false" customHeight="false" outlineLevel="0" collapsed="false">
      <c r="A995" s="11"/>
      <c r="B995" s="11"/>
      <c r="C995" s="11"/>
      <c r="D995" s="11"/>
      <c r="E995" s="11"/>
      <c r="F995" s="11"/>
      <c r="G995" s="11"/>
      <c r="H995" s="11"/>
      <c r="I995" s="11"/>
      <c r="J995" s="15"/>
      <c r="K995" s="15"/>
      <c r="L995" s="11"/>
      <c r="M995" s="11"/>
      <c r="N995" s="17" t="str">
        <f aca="false">IF(OR(J995="",K995="",J995=0),"",(J995-K995)/J995)</f>
        <v/>
      </c>
      <c r="O995" s="11"/>
    </row>
    <row r="996" customFormat="false" ht="15" hidden="false" customHeight="false" outlineLevel="0" collapsed="false">
      <c r="A996" s="11"/>
      <c r="B996" s="11"/>
      <c r="C996" s="11"/>
      <c r="D996" s="11"/>
      <c r="E996" s="11"/>
      <c r="F996" s="11"/>
      <c r="G996" s="11"/>
      <c r="H996" s="11"/>
      <c r="I996" s="11"/>
      <c r="J996" s="15"/>
      <c r="K996" s="15"/>
      <c r="L996" s="11"/>
      <c r="M996" s="11"/>
      <c r="N996" s="17" t="str">
        <f aca="false">IF(OR(J996="",K996="",J996=0),"",(J996-K996)/J996)</f>
        <v/>
      </c>
      <c r="O996" s="11"/>
    </row>
    <row r="997" customFormat="false" ht="15" hidden="false" customHeight="false" outlineLevel="0" collapsed="false">
      <c r="A997" s="11"/>
      <c r="B997" s="11"/>
      <c r="C997" s="11"/>
      <c r="D997" s="11"/>
      <c r="E997" s="11"/>
      <c r="F997" s="11"/>
      <c r="G997" s="11"/>
      <c r="H997" s="11"/>
      <c r="I997" s="11"/>
      <c r="J997" s="15"/>
      <c r="K997" s="15"/>
      <c r="L997" s="11"/>
      <c r="M997" s="11"/>
      <c r="N997" s="17" t="str">
        <f aca="false">IF(OR(J997="",K997="",J997=0),"",(J997-K997)/J997)</f>
        <v/>
      </c>
      <c r="O997" s="11"/>
    </row>
    <row r="998" customFormat="false" ht="15" hidden="false" customHeight="false" outlineLevel="0" collapsed="false">
      <c r="A998" s="11"/>
      <c r="B998" s="11"/>
      <c r="C998" s="11"/>
      <c r="D998" s="11"/>
      <c r="E998" s="11"/>
      <c r="F998" s="11"/>
      <c r="G998" s="11"/>
      <c r="H998" s="11"/>
      <c r="I998" s="11"/>
      <c r="J998" s="15"/>
      <c r="K998" s="15"/>
      <c r="L998" s="11"/>
      <c r="M998" s="11"/>
      <c r="N998" s="17" t="str">
        <f aca="false">IF(OR(J998="",K998="",J998=0),"",(J998-K998)/J998)</f>
        <v/>
      </c>
      <c r="O998" s="11"/>
    </row>
    <row r="999" customFormat="false" ht="15" hidden="false" customHeight="false" outlineLevel="0" collapsed="false">
      <c r="A999" s="11"/>
      <c r="B999" s="11"/>
      <c r="C999" s="11"/>
      <c r="D999" s="11"/>
      <c r="E999" s="11"/>
      <c r="F999" s="11"/>
      <c r="G999" s="11"/>
      <c r="H999" s="11"/>
      <c r="I999" s="11"/>
      <c r="J999" s="15"/>
      <c r="K999" s="15"/>
      <c r="L999" s="11"/>
      <c r="M999" s="11"/>
      <c r="N999" s="17" t="str">
        <f aca="false">IF(OR(J999="",K999="",J999=0),"",(J999-K999)/J999)</f>
        <v/>
      </c>
      <c r="O999" s="11"/>
    </row>
    <row r="1000" customFormat="false" ht="15" hidden="false" customHeight="false" outlineLevel="0" collapsed="false">
      <c r="A1000" s="11"/>
      <c r="B1000" s="11"/>
      <c r="C1000" s="11"/>
      <c r="D1000" s="11"/>
      <c r="E1000" s="11"/>
      <c r="F1000" s="11"/>
      <c r="G1000" s="11"/>
      <c r="H1000" s="11"/>
      <c r="I1000" s="11"/>
      <c r="J1000" s="15"/>
      <c r="K1000" s="15"/>
      <c r="L1000" s="11"/>
      <c r="M1000" s="11"/>
      <c r="N1000" s="17" t="str">
        <f aca="false">IF(OR(J1000="",K1000="",J1000=0),"",(J1000-K1000)/J1000)</f>
        <v/>
      </c>
      <c r="O1000" s="11"/>
    </row>
    <row r="1001" customFormat="false" ht="15" hidden="false" customHeight="false" outlineLevel="0" collapsed="false">
      <c r="A1001" s="11"/>
      <c r="B1001" s="11"/>
      <c r="C1001" s="11"/>
      <c r="D1001" s="11"/>
      <c r="E1001" s="11"/>
      <c r="F1001" s="11"/>
      <c r="G1001" s="11"/>
      <c r="H1001" s="11"/>
      <c r="I1001" s="11"/>
      <c r="J1001" s="15"/>
      <c r="K1001" s="15"/>
      <c r="L1001" s="11"/>
      <c r="M1001" s="11"/>
      <c r="N1001" s="17" t="str">
        <f aca="false">IF(OR(J1001="",K1001="",J1001=0),"",(J1001-K1001)/J1001)</f>
        <v/>
      </c>
      <c r="O1001" s="11"/>
    </row>
  </sheetData>
  <conditionalFormatting sqref="N2:N1001">
    <cfRule type="expression" priority="2" aboveAverage="0" equalAverage="0" bottom="0" percent="0" rank="0" text="" dxfId="0">
      <formula>AND(N2&lt;&gt;"",N2&lt;0.4)</formula>
    </cfRule>
  </conditionalFormatting>
  <dataValidations count="2">
    <dataValidation allowBlank="true" error="Elija una categoría de la hoja Categorias" errorStyle="stop" errorTitle="Valor no válido" operator="between" showDropDown="false" showErrorMessage="true" showInputMessage="false" sqref="C2:C1001" type="list">
      <formula1>Categorias!$A$2:$A$61</formula1>
      <formula2>0</formula2>
    </dataValidation>
    <dataValidation allowBlank="true" error="Elija una gama de la hoja Gamas o deje vacío" errorStyle="stop" errorTitle="Valor no válido" operator="between" showDropDown="false" showErrorMessage="true" showInputMessage="false" sqref="I2:I1001" type="list">
      <formula1>Gamas!$A$2:$A$4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0"/>
    <col collapsed="false" customWidth="true" hidden="false" outlineLevel="0" max="5" min="3" style="0" width="14"/>
    <col collapsed="false" customWidth="true" hidden="false" outlineLevel="0" max="6" min="6" style="0" width="10"/>
    <col collapsed="false" customWidth="true" hidden="false" outlineLevel="0" max="8" min="7" style="0" width="16"/>
  </cols>
  <sheetData>
    <row r="1" customFormat="false" ht="42" hidden="false" customHeight="true" outlineLevel="0" collapsed="false">
      <c r="A1" s="10" t="s">
        <v>87</v>
      </c>
      <c r="B1" s="10" t="s">
        <v>106</v>
      </c>
      <c r="C1" s="10" t="s">
        <v>107</v>
      </c>
      <c r="D1" s="10" t="s">
        <v>108</v>
      </c>
      <c r="E1" s="10" t="s">
        <v>109</v>
      </c>
      <c r="F1" s="10" t="s">
        <v>110</v>
      </c>
      <c r="G1" s="10" t="s">
        <v>97</v>
      </c>
      <c r="H1" s="10" t="s">
        <v>111</v>
      </c>
    </row>
    <row r="2" customFormat="false" ht="15" hidden="false" customHeight="false" outlineLevel="0" collapsed="false">
      <c r="A2" s="13" t="s">
        <v>101</v>
      </c>
      <c r="B2" s="12" t="str">
        <f aca="false">IF(A2="","",IFERROR(INDEX(Productos!$D$2:$D$1001,MATCH(A2,Productos!$A$2:$A$1001,0))&amp;" — "&amp;INDEX(Productos!$E$2:$E$1001,MATCH(A2,Productos!$A$2:$A$1001,0)),"SKU no existe en Productos"))</f>
        <v>Labret rosca interna — Titanio F-136 · 16G · 6 mm</v>
      </c>
      <c r="C2" s="13" t="n">
        <v>10</v>
      </c>
      <c r="D2" s="13" t="n">
        <v>20</v>
      </c>
      <c r="E2" s="13" t="n">
        <v>10</v>
      </c>
      <c r="F2" s="12" t="n">
        <f aca="false">IF(A2="","",SUM(C2:E2))</f>
        <v>40</v>
      </c>
      <c r="G2" s="16" t="n">
        <f aca="false">IF(A2="","",IFERROR(INDEX(Productos!$K$2:$K$1001,MATCH(A2,Productos!$A$2:$A$1001,0)),""))</f>
        <v>220</v>
      </c>
      <c r="H2" s="16" t="n">
        <f aca="false">IF(OR(A2="",G2=""),"",F2*G2)</f>
        <v>8800</v>
      </c>
    </row>
    <row r="3" customFormat="false" ht="15" hidden="false" customHeight="false" outlineLevel="0" collapsed="false">
      <c r="A3" s="11"/>
      <c r="B3" s="12" t="str">
        <f aca="false">IF(A3="","",IFERROR(INDEX(Productos!$D$2:$D$1001,MATCH(A3,Productos!$A$2:$A$1001,0))&amp;" — "&amp;INDEX(Productos!$E$2:$E$1001,MATCH(A3,Productos!$A$2:$A$1001,0)),"SKU no existe en Productos"))</f>
        <v/>
      </c>
      <c r="C3" s="11"/>
      <c r="D3" s="11"/>
      <c r="E3" s="11"/>
      <c r="F3" s="12" t="str">
        <f aca="false">IF(A3="","",SUM(C3:E3))</f>
        <v/>
      </c>
      <c r="G3" s="16" t="str">
        <f aca="false">IF(A3="","",IFERROR(INDEX(Productos!$K$2:$K$1001,MATCH(A3,Productos!$A$2:$A$1001,0)),""))</f>
        <v/>
      </c>
      <c r="H3" s="16" t="str">
        <f aca="false">IF(OR(A3="",G3=""),"",F3*G3)</f>
        <v/>
      </c>
    </row>
    <row r="4" customFormat="false" ht="15" hidden="false" customHeight="false" outlineLevel="0" collapsed="false">
      <c r="A4" s="11"/>
      <c r="B4" s="12" t="str">
        <f aca="false">IF(A4="","",IFERROR(INDEX(Productos!$D$2:$D$1001,MATCH(A4,Productos!$A$2:$A$1001,0))&amp;" — "&amp;INDEX(Productos!$E$2:$E$1001,MATCH(A4,Productos!$A$2:$A$1001,0)),"SKU no existe en Productos"))</f>
        <v/>
      </c>
      <c r="C4" s="11"/>
      <c r="D4" s="11"/>
      <c r="E4" s="11"/>
      <c r="F4" s="12" t="str">
        <f aca="false">IF(A4="","",SUM(C4:E4))</f>
        <v/>
      </c>
      <c r="G4" s="16" t="str">
        <f aca="false">IF(A4="","",IFERROR(INDEX(Productos!$K$2:$K$1001,MATCH(A4,Productos!$A$2:$A$1001,0)),""))</f>
        <v/>
      </c>
      <c r="H4" s="16" t="str">
        <f aca="false">IF(OR(A4="",G4=""),"",F4*G4)</f>
        <v/>
      </c>
    </row>
    <row r="5" customFormat="false" ht="15" hidden="false" customHeight="false" outlineLevel="0" collapsed="false">
      <c r="A5" s="11"/>
      <c r="B5" s="12" t="str">
        <f aca="false">IF(A5="","",IFERROR(INDEX(Productos!$D$2:$D$1001,MATCH(A5,Productos!$A$2:$A$1001,0))&amp;" — "&amp;INDEX(Productos!$E$2:$E$1001,MATCH(A5,Productos!$A$2:$A$1001,0)),"SKU no existe en Productos"))</f>
        <v/>
      </c>
      <c r="C5" s="11"/>
      <c r="D5" s="11"/>
      <c r="E5" s="11"/>
      <c r="F5" s="12" t="str">
        <f aca="false">IF(A5="","",SUM(C5:E5))</f>
        <v/>
      </c>
      <c r="G5" s="16" t="str">
        <f aca="false">IF(A5="","",IFERROR(INDEX(Productos!$K$2:$K$1001,MATCH(A5,Productos!$A$2:$A$1001,0)),""))</f>
        <v/>
      </c>
      <c r="H5" s="16" t="str">
        <f aca="false">IF(OR(A5="",G5=""),"",F5*G5)</f>
        <v/>
      </c>
    </row>
    <row r="6" customFormat="false" ht="15" hidden="false" customHeight="false" outlineLevel="0" collapsed="false">
      <c r="A6" s="11"/>
      <c r="B6" s="12" t="str">
        <f aca="false">IF(A6="","",IFERROR(INDEX(Productos!$D$2:$D$1001,MATCH(A6,Productos!$A$2:$A$1001,0))&amp;" — "&amp;INDEX(Productos!$E$2:$E$1001,MATCH(A6,Productos!$A$2:$A$1001,0)),"SKU no existe en Productos"))</f>
        <v/>
      </c>
      <c r="C6" s="11"/>
      <c r="D6" s="11"/>
      <c r="E6" s="11"/>
      <c r="F6" s="12" t="str">
        <f aca="false">IF(A6="","",SUM(C6:E6))</f>
        <v/>
      </c>
      <c r="G6" s="16" t="str">
        <f aca="false">IF(A6="","",IFERROR(INDEX(Productos!$K$2:$K$1001,MATCH(A6,Productos!$A$2:$A$1001,0)),""))</f>
        <v/>
      </c>
      <c r="H6" s="16" t="str">
        <f aca="false">IF(OR(A6="",G6=""),"",F6*G6)</f>
        <v/>
      </c>
    </row>
    <row r="7" customFormat="false" ht="15" hidden="false" customHeight="false" outlineLevel="0" collapsed="false">
      <c r="A7" s="11"/>
      <c r="B7" s="12" t="str">
        <f aca="false">IF(A7="","",IFERROR(INDEX(Productos!$D$2:$D$1001,MATCH(A7,Productos!$A$2:$A$1001,0))&amp;" — "&amp;INDEX(Productos!$E$2:$E$1001,MATCH(A7,Productos!$A$2:$A$1001,0)),"SKU no existe en Productos"))</f>
        <v/>
      </c>
      <c r="C7" s="11"/>
      <c r="D7" s="11"/>
      <c r="E7" s="11"/>
      <c r="F7" s="12" t="str">
        <f aca="false">IF(A7="","",SUM(C7:E7))</f>
        <v/>
      </c>
      <c r="G7" s="16" t="str">
        <f aca="false">IF(A7="","",IFERROR(INDEX(Productos!$K$2:$K$1001,MATCH(A7,Productos!$A$2:$A$1001,0)),""))</f>
        <v/>
      </c>
      <c r="H7" s="16" t="str">
        <f aca="false">IF(OR(A7="",G7=""),"",F7*G7)</f>
        <v/>
      </c>
    </row>
    <row r="8" customFormat="false" ht="15" hidden="false" customHeight="false" outlineLevel="0" collapsed="false">
      <c r="A8" s="11"/>
      <c r="B8" s="12" t="str">
        <f aca="false">IF(A8="","",IFERROR(INDEX(Productos!$D$2:$D$1001,MATCH(A8,Productos!$A$2:$A$1001,0))&amp;" — "&amp;INDEX(Productos!$E$2:$E$1001,MATCH(A8,Productos!$A$2:$A$1001,0)),"SKU no existe en Productos"))</f>
        <v/>
      </c>
      <c r="C8" s="11"/>
      <c r="D8" s="11"/>
      <c r="E8" s="11"/>
      <c r="F8" s="12" t="str">
        <f aca="false">IF(A8="","",SUM(C8:E8))</f>
        <v/>
      </c>
      <c r="G8" s="16" t="str">
        <f aca="false">IF(A8="","",IFERROR(INDEX(Productos!$K$2:$K$1001,MATCH(A8,Productos!$A$2:$A$1001,0)),""))</f>
        <v/>
      </c>
      <c r="H8" s="16" t="str">
        <f aca="false">IF(OR(A8="",G8=""),"",F8*G8)</f>
        <v/>
      </c>
    </row>
    <row r="9" customFormat="false" ht="15" hidden="false" customHeight="false" outlineLevel="0" collapsed="false">
      <c r="A9" s="11"/>
      <c r="B9" s="12" t="str">
        <f aca="false">IF(A9="","",IFERROR(INDEX(Productos!$D$2:$D$1001,MATCH(A9,Productos!$A$2:$A$1001,0))&amp;" — "&amp;INDEX(Productos!$E$2:$E$1001,MATCH(A9,Productos!$A$2:$A$1001,0)),"SKU no existe en Productos"))</f>
        <v/>
      </c>
      <c r="C9" s="11"/>
      <c r="D9" s="11"/>
      <c r="E9" s="11"/>
      <c r="F9" s="12" t="str">
        <f aca="false">IF(A9="","",SUM(C9:E9))</f>
        <v/>
      </c>
      <c r="G9" s="16" t="str">
        <f aca="false">IF(A9="","",IFERROR(INDEX(Productos!$K$2:$K$1001,MATCH(A9,Productos!$A$2:$A$1001,0)),""))</f>
        <v/>
      </c>
      <c r="H9" s="16" t="str">
        <f aca="false">IF(OR(A9="",G9=""),"",F9*G9)</f>
        <v/>
      </c>
    </row>
    <row r="10" customFormat="false" ht="15" hidden="false" customHeight="false" outlineLevel="0" collapsed="false">
      <c r="A10" s="11"/>
      <c r="B10" s="12" t="str">
        <f aca="false">IF(A10="","",IFERROR(INDEX(Productos!$D$2:$D$1001,MATCH(A10,Productos!$A$2:$A$1001,0))&amp;" — "&amp;INDEX(Productos!$E$2:$E$1001,MATCH(A10,Productos!$A$2:$A$1001,0)),"SKU no existe en Productos"))</f>
        <v/>
      </c>
      <c r="C10" s="11"/>
      <c r="D10" s="11"/>
      <c r="E10" s="11"/>
      <c r="F10" s="12" t="str">
        <f aca="false">IF(A10="","",SUM(C10:E10))</f>
        <v/>
      </c>
      <c r="G10" s="16" t="str">
        <f aca="false">IF(A10="","",IFERROR(INDEX(Productos!$K$2:$K$1001,MATCH(A10,Productos!$A$2:$A$1001,0)),""))</f>
        <v/>
      </c>
      <c r="H10" s="16" t="str">
        <f aca="false">IF(OR(A10="",G10=""),"",F10*G10)</f>
        <v/>
      </c>
    </row>
    <row r="11" customFormat="false" ht="15" hidden="false" customHeight="false" outlineLevel="0" collapsed="false">
      <c r="A11" s="11"/>
      <c r="B11" s="12" t="str">
        <f aca="false">IF(A11="","",IFERROR(INDEX(Productos!$D$2:$D$1001,MATCH(A11,Productos!$A$2:$A$1001,0))&amp;" — "&amp;INDEX(Productos!$E$2:$E$1001,MATCH(A11,Productos!$A$2:$A$1001,0)),"SKU no existe en Productos"))</f>
        <v/>
      </c>
      <c r="C11" s="11"/>
      <c r="D11" s="11"/>
      <c r="E11" s="11"/>
      <c r="F11" s="12" t="str">
        <f aca="false">IF(A11="","",SUM(C11:E11))</f>
        <v/>
      </c>
      <c r="G11" s="16" t="str">
        <f aca="false">IF(A11="","",IFERROR(INDEX(Productos!$K$2:$K$1001,MATCH(A11,Productos!$A$2:$A$1001,0)),""))</f>
        <v/>
      </c>
      <c r="H11" s="16" t="str">
        <f aca="false">IF(OR(A11="",G11=""),"",F11*G11)</f>
        <v/>
      </c>
    </row>
    <row r="12" customFormat="false" ht="15" hidden="false" customHeight="false" outlineLevel="0" collapsed="false">
      <c r="A12" s="11"/>
      <c r="B12" s="12" t="str">
        <f aca="false">IF(A12="","",IFERROR(INDEX(Productos!$D$2:$D$1001,MATCH(A12,Productos!$A$2:$A$1001,0))&amp;" — "&amp;INDEX(Productos!$E$2:$E$1001,MATCH(A12,Productos!$A$2:$A$1001,0)),"SKU no existe en Productos"))</f>
        <v/>
      </c>
      <c r="C12" s="11"/>
      <c r="D12" s="11"/>
      <c r="E12" s="11"/>
      <c r="F12" s="12" t="str">
        <f aca="false">IF(A12="","",SUM(C12:E12))</f>
        <v/>
      </c>
      <c r="G12" s="16" t="str">
        <f aca="false">IF(A12="","",IFERROR(INDEX(Productos!$K$2:$K$1001,MATCH(A12,Productos!$A$2:$A$1001,0)),""))</f>
        <v/>
      </c>
      <c r="H12" s="16" t="str">
        <f aca="false">IF(OR(A12="",G12=""),"",F12*G12)</f>
        <v/>
      </c>
    </row>
    <row r="13" customFormat="false" ht="15" hidden="false" customHeight="false" outlineLevel="0" collapsed="false">
      <c r="A13" s="11"/>
      <c r="B13" s="12" t="str">
        <f aca="false">IF(A13="","",IFERROR(INDEX(Productos!$D$2:$D$1001,MATCH(A13,Productos!$A$2:$A$1001,0))&amp;" — "&amp;INDEX(Productos!$E$2:$E$1001,MATCH(A13,Productos!$A$2:$A$1001,0)),"SKU no existe en Productos"))</f>
        <v/>
      </c>
      <c r="C13" s="11"/>
      <c r="D13" s="11"/>
      <c r="E13" s="11"/>
      <c r="F13" s="12" t="str">
        <f aca="false">IF(A13="","",SUM(C13:E13))</f>
        <v/>
      </c>
      <c r="G13" s="16" t="str">
        <f aca="false">IF(A13="","",IFERROR(INDEX(Productos!$K$2:$K$1001,MATCH(A13,Productos!$A$2:$A$1001,0)),""))</f>
        <v/>
      </c>
      <c r="H13" s="16" t="str">
        <f aca="false">IF(OR(A13="",G13=""),"",F13*G13)</f>
        <v/>
      </c>
    </row>
    <row r="14" customFormat="false" ht="15" hidden="false" customHeight="false" outlineLevel="0" collapsed="false">
      <c r="A14" s="11"/>
      <c r="B14" s="12" t="str">
        <f aca="false">IF(A14="","",IFERROR(INDEX(Productos!$D$2:$D$1001,MATCH(A14,Productos!$A$2:$A$1001,0))&amp;" — "&amp;INDEX(Productos!$E$2:$E$1001,MATCH(A14,Productos!$A$2:$A$1001,0)),"SKU no existe en Productos"))</f>
        <v/>
      </c>
      <c r="C14" s="11"/>
      <c r="D14" s="11"/>
      <c r="E14" s="11"/>
      <c r="F14" s="12" t="str">
        <f aca="false">IF(A14="","",SUM(C14:E14))</f>
        <v/>
      </c>
      <c r="G14" s="16" t="str">
        <f aca="false">IF(A14="","",IFERROR(INDEX(Productos!$K$2:$K$1001,MATCH(A14,Productos!$A$2:$A$1001,0)),""))</f>
        <v/>
      </c>
      <c r="H14" s="16" t="str">
        <f aca="false">IF(OR(A14="",G14=""),"",F14*G14)</f>
        <v/>
      </c>
    </row>
    <row r="15" customFormat="false" ht="15" hidden="false" customHeight="false" outlineLevel="0" collapsed="false">
      <c r="A15" s="11"/>
      <c r="B15" s="12" t="str">
        <f aca="false">IF(A15="","",IFERROR(INDEX(Productos!$D$2:$D$1001,MATCH(A15,Productos!$A$2:$A$1001,0))&amp;" — "&amp;INDEX(Productos!$E$2:$E$1001,MATCH(A15,Productos!$A$2:$A$1001,0)),"SKU no existe en Productos"))</f>
        <v/>
      </c>
      <c r="C15" s="11"/>
      <c r="D15" s="11"/>
      <c r="E15" s="11"/>
      <c r="F15" s="12" t="str">
        <f aca="false">IF(A15="","",SUM(C15:E15))</f>
        <v/>
      </c>
      <c r="G15" s="16" t="str">
        <f aca="false">IF(A15="","",IFERROR(INDEX(Productos!$K$2:$K$1001,MATCH(A15,Productos!$A$2:$A$1001,0)),""))</f>
        <v/>
      </c>
      <c r="H15" s="16" t="str">
        <f aca="false">IF(OR(A15="",G15=""),"",F15*G15)</f>
        <v/>
      </c>
    </row>
    <row r="16" customFormat="false" ht="15" hidden="false" customHeight="false" outlineLevel="0" collapsed="false">
      <c r="A16" s="11"/>
      <c r="B16" s="12" t="str">
        <f aca="false">IF(A16="","",IFERROR(INDEX(Productos!$D$2:$D$1001,MATCH(A16,Productos!$A$2:$A$1001,0))&amp;" — "&amp;INDEX(Productos!$E$2:$E$1001,MATCH(A16,Productos!$A$2:$A$1001,0)),"SKU no existe en Productos"))</f>
        <v/>
      </c>
      <c r="C16" s="11"/>
      <c r="D16" s="11"/>
      <c r="E16" s="11"/>
      <c r="F16" s="12" t="str">
        <f aca="false">IF(A16="","",SUM(C16:E16))</f>
        <v/>
      </c>
      <c r="G16" s="16" t="str">
        <f aca="false">IF(A16="","",IFERROR(INDEX(Productos!$K$2:$K$1001,MATCH(A16,Productos!$A$2:$A$1001,0)),""))</f>
        <v/>
      </c>
      <c r="H16" s="16" t="str">
        <f aca="false">IF(OR(A16="",G16=""),"",F16*G16)</f>
        <v/>
      </c>
    </row>
    <row r="17" customFormat="false" ht="15" hidden="false" customHeight="false" outlineLevel="0" collapsed="false">
      <c r="A17" s="11"/>
      <c r="B17" s="12" t="str">
        <f aca="false">IF(A17="","",IFERROR(INDEX(Productos!$D$2:$D$1001,MATCH(A17,Productos!$A$2:$A$1001,0))&amp;" — "&amp;INDEX(Productos!$E$2:$E$1001,MATCH(A17,Productos!$A$2:$A$1001,0)),"SKU no existe en Productos"))</f>
        <v/>
      </c>
      <c r="C17" s="11"/>
      <c r="D17" s="11"/>
      <c r="E17" s="11"/>
      <c r="F17" s="12" t="str">
        <f aca="false">IF(A17="","",SUM(C17:E17))</f>
        <v/>
      </c>
      <c r="G17" s="16" t="str">
        <f aca="false">IF(A17="","",IFERROR(INDEX(Productos!$K$2:$K$1001,MATCH(A17,Productos!$A$2:$A$1001,0)),""))</f>
        <v/>
      </c>
      <c r="H17" s="16" t="str">
        <f aca="false">IF(OR(A17="",G17=""),"",F17*G17)</f>
        <v/>
      </c>
    </row>
    <row r="18" customFormat="false" ht="15" hidden="false" customHeight="false" outlineLevel="0" collapsed="false">
      <c r="A18" s="11"/>
      <c r="B18" s="12" t="str">
        <f aca="false">IF(A18="","",IFERROR(INDEX(Productos!$D$2:$D$1001,MATCH(A18,Productos!$A$2:$A$1001,0))&amp;" — "&amp;INDEX(Productos!$E$2:$E$1001,MATCH(A18,Productos!$A$2:$A$1001,0)),"SKU no existe en Productos"))</f>
        <v/>
      </c>
      <c r="C18" s="11"/>
      <c r="D18" s="11"/>
      <c r="E18" s="11"/>
      <c r="F18" s="12" t="str">
        <f aca="false">IF(A18="","",SUM(C18:E18))</f>
        <v/>
      </c>
      <c r="G18" s="16" t="str">
        <f aca="false">IF(A18="","",IFERROR(INDEX(Productos!$K$2:$K$1001,MATCH(A18,Productos!$A$2:$A$1001,0)),""))</f>
        <v/>
      </c>
      <c r="H18" s="16" t="str">
        <f aca="false">IF(OR(A18="",G18=""),"",F18*G18)</f>
        <v/>
      </c>
    </row>
    <row r="19" customFormat="false" ht="15" hidden="false" customHeight="false" outlineLevel="0" collapsed="false">
      <c r="A19" s="11"/>
      <c r="B19" s="12" t="str">
        <f aca="false">IF(A19="","",IFERROR(INDEX(Productos!$D$2:$D$1001,MATCH(A19,Productos!$A$2:$A$1001,0))&amp;" — "&amp;INDEX(Productos!$E$2:$E$1001,MATCH(A19,Productos!$A$2:$A$1001,0)),"SKU no existe en Productos"))</f>
        <v/>
      </c>
      <c r="C19" s="11"/>
      <c r="D19" s="11"/>
      <c r="E19" s="11"/>
      <c r="F19" s="12" t="str">
        <f aca="false">IF(A19="","",SUM(C19:E19))</f>
        <v/>
      </c>
      <c r="G19" s="16" t="str">
        <f aca="false">IF(A19="","",IFERROR(INDEX(Productos!$K$2:$K$1001,MATCH(A19,Productos!$A$2:$A$1001,0)),""))</f>
        <v/>
      </c>
      <c r="H19" s="16" t="str">
        <f aca="false">IF(OR(A19="",G19=""),"",F19*G19)</f>
        <v/>
      </c>
    </row>
    <row r="20" customFormat="false" ht="15" hidden="false" customHeight="false" outlineLevel="0" collapsed="false">
      <c r="A20" s="11"/>
      <c r="B20" s="12" t="str">
        <f aca="false">IF(A20="","",IFERROR(INDEX(Productos!$D$2:$D$1001,MATCH(A20,Productos!$A$2:$A$1001,0))&amp;" — "&amp;INDEX(Productos!$E$2:$E$1001,MATCH(A20,Productos!$A$2:$A$1001,0)),"SKU no existe en Productos"))</f>
        <v/>
      </c>
      <c r="C20" s="11"/>
      <c r="D20" s="11"/>
      <c r="E20" s="11"/>
      <c r="F20" s="12" t="str">
        <f aca="false">IF(A20="","",SUM(C20:E20))</f>
        <v/>
      </c>
      <c r="G20" s="16" t="str">
        <f aca="false">IF(A20="","",IFERROR(INDEX(Productos!$K$2:$K$1001,MATCH(A20,Productos!$A$2:$A$1001,0)),""))</f>
        <v/>
      </c>
      <c r="H20" s="16" t="str">
        <f aca="false">IF(OR(A20="",G20=""),"",F20*G20)</f>
        <v/>
      </c>
    </row>
    <row r="21" customFormat="false" ht="15" hidden="false" customHeight="false" outlineLevel="0" collapsed="false">
      <c r="A21" s="11"/>
      <c r="B21" s="12" t="str">
        <f aca="false">IF(A21="","",IFERROR(INDEX(Productos!$D$2:$D$1001,MATCH(A21,Productos!$A$2:$A$1001,0))&amp;" — "&amp;INDEX(Productos!$E$2:$E$1001,MATCH(A21,Productos!$A$2:$A$1001,0)),"SKU no existe en Productos"))</f>
        <v/>
      </c>
      <c r="C21" s="11"/>
      <c r="D21" s="11"/>
      <c r="E21" s="11"/>
      <c r="F21" s="12" t="str">
        <f aca="false">IF(A21="","",SUM(C21:E21))</f>
        <v/>
      </c>
      <c r="G21" s="16" t="str">
        <f aca="false">IF(A21="","",IFERROR(INDEX(Productos!$K$2:$K$1001,MATCH(A21,Productos!$A$2:$A$1001,0)),""))</f>
        <v/>
      </c>
      <c r="H21" s="16" t="str">
        <f aca="false">IF(OR(A21="",G21=""),"",F21*G21)</f>
        <v/>
      </c>
    </row>
    <row r="22" customFormat="false" ht="15" hidden="false" customHeight="false" outlineLevel="0" collapsed="false">
      <c r="A22" s="11"/>
      <c r="B22" s="12" t="str">
        <f aca="false">IF(A22="","",IFERROR(INDEX(Productos!$D$2:$D$1001,MATCH(A22,Productos!$A$2:$A$1001,0))&amp;" — "&amp;INDEX(Productos!$E$2:$E$1001,MATCH(A22,Productos!$A$2:$A$1001,0)),"SKU no existe en Productos"))</f>
        <v/>
      </c>
      <c r="C22" s="11"/>
      <c r="D22" s="11"/>
      <c r="E22" s="11"/>
      <c r="F22" s="12" t="str">
        <f aca="false">IF(A22="","",SUM(C22:E22))</f>
        <v/>
      </c>
      <c r="G22" s="16" t="str">
        <f aca="false">IF(A22="","",IFERROR(INDEX(Productos!$K$2:$K$1001,MATCH(A22,Productos!$A$2:$A$1001,0)),""))</f>
        <v/>
      </c>
      <c r="H22" s="16" t="str">
        <f aca="false">IF(OR(A22="",G22=""),"",F22*G22)</f>
        <v/>
      </c>
    </row>
    <row r="23" customFormat="false" ht="15" hidden="false" customHeight="false" outlineLevel="0" collapsed="false">
      <c r="A23" s="11"/>
      <c r="B23" s="12" t="str">
        <f aca="false">IF(A23="","",IFERROR(INDEX(Productos!$D$2:$D$1001,MATCH(A23,Productos!$A$2:$A$1001,0))&amp;" — "&amp;INDEX(Productos!$E$2:$E$1001,MATCH(A23,Productos!$A$2:$A$1001,0)),"SKU no existe en Productos"))</f>
        <v/>
      </c>
      <c r="C23" s="11"/>
      <c r="D23" s="11"/>
      <c r="E23" s="11"/>
      <c r="F23" s="12" t="str">
        <f aca="false">IF(A23="","",SUM(C23:E23))</f>
        <v/>
      </c>
      <c r="G23" s="16" t="str">
        <f aca="false">IF(A23="","",IFERROR(INDEX(Productos!$K$2:$K$1001,MATCH(A23,Productos!$A$2:$A$1001,0)),""))</f>
        <v/>
      </c>
      <c r="H23" s="16" t="str">
        <f aca="false">IF(OR(A23="",G23=""),"",F23*G23)</f>
        <v/>
      </c>
    </row>
    <row r="24" customFormat="false" ht="15" hidden="false" customHeight="false" outlineLevel="0" collapsed="false">
      <c r="A24" s="11"/>
      <c r="B24" s="12" t="str">
        <f aca="false">IF(A24="","",IFERROR(INDEX(Productos!$D$2:$D$1001,MATCH(A24,Productos!$A$2:$A$1001,0))&amp;" — "&amp;INDEX(Productos!$E$2:$E$1001,MATCH(A24,Productos!$A$2:$A$1001,0)),"SKU no existe en Productos"))</f>
        <v/>
      </c>
      <c r="C24" s="11"/>
      <c r="D24" s="11"/>
      <c r="E24" s="11"/>
      <c r="F24" s="12" t="str">
        <f aca="false">IF(A24="","",SUM(C24:E24))</f>
        <v/>
      </c>
      <c r="G24" s="16" t="str">
        <f aca="false">IF(A24="","",IFERROR(INDEX(Productos!$K$2:$K$1001,MATCH(A24,Productos!$A$2:$A$1001,0)),""))</f>
        <v/>
      </c>
      <c r="H24" s="16" t="str">
        <f aca="false">IF(OR(A24="",G24=""),"",F24*G24)</f>
        <v/>
      </c>
    </row>
    <row r="25" customFormat="false" ht="15" hidden="false" customHeight="false" outlineLevel="0" collapsed="false">
      <c r="A25" s="11"/>
      <c r="B25" s="12" t="str">
        <f aca="false">IF(A25="","",IFERROR(INDEX(Productos!$D$2:$D$1001,MATCH(A25,Productos!$A$2:$A$1001,0))&amp;" — "&amp;INDEX(Productos!$E$2:$E$1001,MATCH(A25,Productos!$A$2:$A$1001,0)),"SKU no existe en Productos"))</f>
        <v/>
      </c>
      <c r="C25" s="11"/>
      <c r="D25" s="11"/>
      <c r="E25" s="11"/>
      <c r="F25" s="12" t="str">
        <f aca="false">IF(A25="","",SUM(C25:E25))</f>
        <v/>
      </c>
      <c r="G25" s="16" t="str">
        <f aca="false">IF(A25="","",IFERROR(INDEX(Productos!$K$2:$K$1001,MATCH(A25,Productos!$A$2:$A$1001,0)),""))</f>
        <v/>
      </c>
      <c r="H25" s="16" t="str">
        <f aca="false">IF(OR(A25="",G25=""),"",F25*G25)</f>
        <v/>
      </c>
    </row>
    <row r="26" customFormat="false" ht="15" hidden="false" customHeight="false" outlineLevel="0" collapsed="false">
      <c r="A26" s="11"/>
      <c r="B26" s="12" t="str">
        <f aca="false">IF(A26="","",IFERROR(INDEX(Productos!$D$2:$D$1001,MATCH(A26,Productos!$A$2:$A$1001,0))&amp;" — "&amp;INDEX(Productos!$E$2:$E$1001,MATCH(A26,Productos!$A$2:$A$1001,0)),"SKU no existe en Productos"))</f>
        <v/>
      </c>
      <c r="C26" s="11"/>
      <c r="D26" s="11"/>
      <c r="E26" s="11"/>
      <c r="F26" s="12" t="str">
        <f aca="false">IF(A26="","",SUM(C26:E26))</f>
        <v/>
      </c>
      <c r="G26" s="16" t="str">
        <f aca="false">IF(A26="","",IFERROR(INDEX(Productos!$K$2:$K$1001,MATCH(A26,Productos!$A$2:$A$1001,0)),""))</f>
        <v/>
      </c>
      <c r="H26" s="16" t="str">
        <f aca="false">IF(OR(A26="",G26=""),"",F26*G26)</f>
        <v/>
      </c>
    </row>
    <row r="27" customFormat="false" ht="15" hidden="false" customHeight="false" outlineLevel="0" collapsed="false">
      <c r="A27" s="11"/>
      <c r="B27" s="12" t="str">
        <f aca="false">IF(A27="","",IFERROR(INDEX(Productos!$D$2:$D$1001,MATCH(A27,Productos!$A$2:$A$1001,0))&amp;" — "&amp;INDEX(Productos!$E$2:$E$1001,MATCH(A27,Productos!$A$2:$A$1001,0)),"SKU no existe en Productos"))</f>
        <v/>
      </c>
      <c r="C27" s="11"/>
      <c r="D27" s="11"/>
      <c r="E27" s="11"/>
      <c r="F27" s="12" t="str">
        <f aca="false">IF(A27="","",SUM(C27:E27))</f>
        <v/>
      </c>
      <c r="G27" s="16" t="str">
        <f aca="false">IF(A27="","",IFERROR(INDEX(Productos!$K$2:$K$1001,MATCH(A27,Productos!$A$2:$A$1001,0)),""))</f>
        <v/>
      </c>
      <c r="H27" s="16" t="str">
        <f aca="false">IF(OR(A27="",G27=""),"",F27*G27)</f>
        <v/>
      </c>
    </row>
    <row r="28" customFormat="false" ht="15" hidden="false" customHeight="false" outlineLevel="0" collapsed="false">
      <c r="A28" s="11"/>
      <c r="B28" s="12" t="str">
        <f aca="false">IF(A28="","",IFERROR(INDEX(Productos!$D$2:$D$1001,MATCH(A28,Productos!$A$2:$A$1001,0))&amp;" — "&amp;INDEX(Productos!$E$2:$E$1001,MATCH(A28,Productos!$A$2:$A$1001,0)),"SKU no existe en Productos"))</f>
        <v/>
      </c>
      <c r="C28" s="11"/>
      <c r="D28" s="11"/>
      <c r="E28" s="11"/>
      <c r="F28" s="12" t="str">
        <f aca="false">IF(A28="","",SUM(C28:E28))</f>
        <v/>
      </c>
      <c r="G28" s="16" t="str">
        <f aca="false">IF(A28="","",IFERROR(INDEX(Productos!$K$2:$K$1001,MATCH(A28,Productos!$A$2:$A$1001,0)),""))</f>
        <v/>
      </c>
      <c r="H28" s="16" t="str">
        <f aca="false">IF(OR(A28="",G28=""),"",F28*G28)</f>
        <v/>
      </c>
    </row>
    <row r="29" customFormat="false" ht="15" hidden="false" customHeight="false" outlineLevel="0" collapsed="false">
      <c r="A29" s="11"/>
      <c r="B29" s="12" t="str">
        <f aca="false">IF(A29="","",IFERROR(INDEX(Productos!$D$2:$D$1001,MATCH(A29,Productos!$A$2:$A$1001,0))&amp;" — "&amp;INDEX(Productos!$E$2:$E$1001,MATCH(A29,Productos!$A$2:$A$1001,0)),"SKU no existe en Productos"))</f>
        <v/>
      </c>
      <c r="C29" s="11"/>
      <c r="D29" s="11"/>
      <c r="E29" s="11"/>
      <c r="F29" s="12" t="str">
        <f aca="false">IF(A29="","",SUM(C29:E29))</f>
        <v/>
      </c>
      <c r="G29" s="16" t="str">
        <f aca="false">IF(A29="","",IFERROR(INDEX(Productos!$K$2:$K$1001,MATCH(A29,Productos!$A$2:$A$1001,0)),""))</f>
        <v/>
      </c>
      <c r="H29" s="16" t="str">
        <f aca="false">IF(OR(A29="",G29=""),"",F29*G29)</f>
        <v/>
      </c>
    </row>
    <row r="30" customFormat="false" ht="15" hidden="false" customHeight="false" outlineLevel="0" collapsed="false">
      <c r="A30" s="11"/>
      <c r="B30" s="12" t="str">
        <f aca="false">IF(A30="","",IFERROR(INDEX(Productos!$D$2:$D$1001,MATCH(A30,Productos!$A$2:$A$1001,0))&amp;" — "&amp;INDEX(Productos!$E$2:$E$1001,MATCH(A30,Productos!$A$2:$A$1001,0)),"SKU no existe en Productos"))</f>
        <v/>
      </c>
      <c r="C30" s="11"/>
      <c r="D30" s="11"/>
      <c r="E30" s="11"/>
      <c r="F30" s="12" t="str">
        <f aca="false">IF(A30="","",SUM(C30:E30))</f>
        <v/>
      </c>
      <c r="G30" s="16" t="str">
        <f aca="false">IF(A30="","",IFERROR(INDEX(Productos!$K$2:$K$1001,MATCH(A30,Productos!$A$2:$A$1001,0)),""))</f>
        <v/>
      </c>
      <c r="H30" s="16" t="str">
        <f aca="false">IF(OR(A30="",G30=""),"",F30*G30)</f>
        <v/>
      </c>
    </row>
    <row r="31" customFormat="false" ht="15" hidden="false" customHeight="false" outlineLevel="0" collapsed="false">
      <c r="A31" s="11"/>
      <c r="B31" s="12" t="str">
        <f aca="false">IF(A31="","",IFERROR(INDEX(Productos!$D$2:$D$1001,MATCH(A31,Productos!$A$2:$A$1001,0))&amp;" — "&amp;INDEX(Productos!$E$2:$E$1001,MATCH(A31,Productos!$A$2:$A$1001,0)),"SKU no existe en Productos"))</f>
        <v/>
      </c>
      <c r="C31" s="11"/>
      <c r="D31" s="11"/>
      <c r="E31" s="11"/>
      <c r="F31" s="12" t="str">
        <f aca="false">IF(A31="","",SUM(C31:E31))</f>
        <v/>
      </c>
      <c r="G31" s="16" t="str">
        <f aca="false">IF(A31="","",IFERROR(INDEX(Productos!$K$2:$K$1001,MATCH(A31,Productos!$A$2:$A$1001,0)),""))</f>
        <v/>
      </c>
      <c r="H31" s="16" t="str">
        <f aca="false">IF(OR(A31="",G31=""),"",F31*G31)</f>
        <v/>
      </c>
    </row>
    <row r="32" customFormat="false" ht="15" hidden="false" customHeight="false" outlineLevel="0" collapsed="false">
      <c r="A32" s="11"/>
      <c r="B32" s="12" t="str">
        <f aca="false">IF(A32="","",IFERROR(INDEX(Productos!$D$2:$D$1001,MATCH(A32,Productos!$A$2:$A$1001,0))&amp;" — "&amp;INDEX(Productos!$E$2:$E$1001,MATCH(A32,Productos!$A$2:$A$1001,0)),"SKU no existe en Productos"))</f>
        <v/>
      </c>
      <c r="C32" s="11"/>
      <c r="D32" s="11"/>
      <c r="E32" s="11"/>
      <c r="F32" s="12" t="str">
        <f aca="false">IF(A32="","",SUM(C32:E32))</f>
        <v/>
      </c>
      <c r="G32" s="16" t="str">
        <f aca="false">IF(A32="","",IFERROR(INDEX(Productos!$K$2:$K$1001,MATCH(A32,Productos!$A$2:$A$1001,0)),""))</f>
        <v/>
      </c>
      <c r="H32" s="16" t="str">
        <f aca="false">IF(OR(A32="",G32=""),"",F32*G32)</f>
        <v/>
      </c>
    </row>
    <row r="33" customFormat="false" ht="15" hidden="false" customHeight="false" outlineLevel="0" collapsed="false">
      <c r="A33" s="11"/>
      <c r="B33" s="12" t="str">
        <f aca="false">IF(A33="","",IFERROR(INDEX(Productos!$D$2:$D$1001,MATCH(A33,Productos!$A$2:$A$1001,0))&amp;" — "&amp;INDEX(Productos!$E$2:$E$1001,MATCH(A33,Productos!$A$2:$A$1001,0)),"SKU no existe en Productos"))</f>
        <v/>
      </c>
      <c r="C33" s="11"/>
      <c r="D33" s="11"/>
      <c r="E33" s="11"/>
      <c r="F33" s="12" t="str">
        <f aca="false">IF(A33="","",SUM(C33:E33))</f>
        <v/>
      </c>
      <c r="G33" s="16" t="str">
        <f aca="false">IF(A33="","",IFERROR(INDEX(Productos!$K$2:$K$1001,MATCH(A33,Productos!$A$2:$A$1001,0)),""))</f>
        <v/>
      </c>
      <c r="H33" s="16" t="str">
        <f aca="false">IF(OR(A33="",G33=""),"",F33*G33)</f>
        <v/>
      </c>
    </row>
    <row r="34" customFormat="false" ht="15" hidden="false" customHeight="false" outlineLevel="0" collapsed="false">
      <c r="A34" s="11"/>
      <c r="B34" s="12" t="str">
        <f aca="false">IF(A34="","",IFERROR(INDEX(Productos!$D$2:$D$1001,MATCH(A34,Productos!$A$2:$A$1001,0))&amp;" — "&amp;INDEX(Productos!$E$2:$E$1001,MATCH(A34,Productos!$A$2:$A$1001,0)),"SKU no existe en Productos"))</f>
        <v/>
      </c>
      <c r="C34" s="11"/>
      <c r="D34" s="11"/>
      <c r="E34" s="11"/>
      <c r="F34" s="12" t="str">
        <f aca="false">IF(A34="","",SUM(C34:E34))</f>
        <v/>
      </c>
      <c r="G34" s="16" t="str">
        <f aca="false">IF(A34="","",IFERROR(INDEX(Productos!$K$2:$K$1001,MATCH(A34,Productos!$A$2:$A$1001,0)),""))</f>
        <v/>
      </c>
      <c r="H34" s="16" t="str">
        <f aca="false">IF(OR(A34="",G34=""),"",F34*G34)</f>
        <v/>
      </c>
    </row>
    <row r="35" customFormat="false" ht="15" hidden="false" customHeight="false" outlineLevel="0" collapsed="false">
      <c r="A35" s="11"/>
      <c r="B35" s="12" t="str">
        <f aca="false">IF(A35="","",IFERROR(INDEX(Productos!$D$2:$D$1001,MATCH(A35,Productos!$A$2:$A$1001,0))&amp;" — "&amp;INDEX(Productos!$E$2:$E$1001,MATCH(A35,Productos!$A$2:$A$1001,0)),"SKU no existe en Productos"))</f>
        <v/>
      </c>
      <c r="C35" s="11"/>
      <c r="D35" s="11"/>
      <c r="E35" s="11"/>
      <c r="F35" s="12" t="str">
        <f aca="false">IF(A35="","",SUM(C35:E35))</f>
        <v/>
      </c>
      <c r="G35" s="16" t="str">
        <f aca="false">IF(A35="","",IFERROR(INDEX(Productos!$K$2:$K$1001,MATCH(A35,Productos!$A$2:$A$1001,0)),""))</f>
        <v/>
      </c>
      <c r="H35" s="16" t="str">
        <f aca="false">IF(OR(A35="",G35=""),"",F35*G35)</f>
        <v/>
      </c>
    </row>
    <row r="36" customFormat="false" ht="15" hidden="false" customHeight="false" outlineLevel="0" collapsed="false">
      <c r="A36" s="11"/>
      <c r="B36" s="12" t="str">
        <f aca="false">IF(A36="","",IFERROR(INDEX(Productos!$D$2:$D$1001,MATCH(A36,Productos!$A$2:$A$1001,0))&amp;" — "&amp;INDEX(Productos!$E$2:$E$1001,MATCH(A36,Productos!$A$2:$A$1001,0)),"SKU no existe en Productos"))</f>
        <v/>
      </c>
      <c r="C36" s="11"/>
      <c r="D36" s="11"/>
      <c r="E36" s="11"/>
      <c r="F36" s="12" t="str">
        <f aca="false">IF(A36="","",SUM(C36:E36))</f>
        <v/>
      </c>
      <c r="G36" s="16" t="str">
        <f aca="false">IF(A36="","",IFERROR(INDEX(Productos!$K$2:$K$1001,MATCH(A36,Productos!$A$2:$A$1001,0)),""))</f>
        <v/>
      </c>
      <c r="H36" s="16" t="str">
        <f aca="false">IF(OR(A36="",G36=""),"",F36*G36)</f>
        <v/>
      </c>
    </row>
    <row r="37" customFormat="false" ht="15" hidden="false" customHeight="false" outlineLevel="0" collapsed="false">
      <c r="A37" s="11"/>
      <c r="B37" s="12" t="str">
        <f aca="false">IF(A37="","",IFERROR(INDEX(Productos!$D$2:$D$1001,MATCH(A37,Productos!$A$2:$A$1001,0))&amp;" — "&amp;INDEX(Productos!$E$2:$E$1001,MATCH(A37,Productos!$A$2:$A$1001,0)),"SKU no existe en Productos"))</f>
        <v/>
      </c>
      <c r="C37" s="11"/>
      <c r="D37" s="11"/>
      <c r="E37" s="11"/>
      <c r="F37" s="12" t="str">
        <f aca="false">IF(A37="","",SUM(C37:E37))</f>
        <v/>
      </c>
      <c r="G37" s="16" t="str">
        <f aca="false">IF(A37="","",IFERROR(INDEX(Productos!$K$2:$K$1001,MATCH(A37,Productos!$A$2:$A$1001,0)),""))</f>
        <v/>
      </c>
      <c r="H37" s="16" t="str">
        <f aca="false">IF(OR(A37="",G37=""),"",F37*G37)</f>
        <v/>
      </c>
    </row>
    <row r="38" customFormat="false" ht="15" hidden="false" customHeight="false" outlineLevel="0" collapsed="false">
      <c r="A38" s="11"/>
      <c r="B38" s="12" t="str">
        <f aca="false">IF(A38="","",IFERROR(INDEX(Productos!$D$2:$D$1001,MATCH(A38,Productos!$A$2:$A$1001,0))&amp;" — "&amp;INDEX(Productos!$E$2:$E$1001,MATCH(A38,Productos!$A$2:$A$1001,0)),"SKU no existe en Productos"))</f>
        <v/>
      </c>
      <c r="C38" s="11"/>
      <c r="D38" s="11"/>
      <c r="E38" s="11"/>
      <c r="F38" s="12" t="str">
        <f aca="false">IF(A38="","",SUM(C38:E38))</f>
        <v/>
      </c>
      <c r="G38" s="16" t="str">
        <f aca="false">IF(A38="","",IFERROR(INDEX(Productos!$K$2:$K$1001,MATCH(A38,Productos!$A$2:$A$1001,0)),""))</f>
        <v/>
      </c>
      <c r="H38" s="16" t="str">
        <f aca="false">IF(OR(A38="",G38=""),"",F38*G38)</f>
        <v/>
      </c>
    </row>
    <row r="39" customFormat="false" ht="15" hidden="false" customHeight="false" outlineLevel="0" collapsed="false">
      <c r="A39" s="11"/>
      <c r="B39" s="12" t="str">
        <f aca="false">IF(A39="","",IFERROR(INDEX(Productos!$D$2:$D$1001,MATCH(A39,Productos!$A$2:$A$1001,0))&amp;" — "&amp;INDEX(Productos!$E$2:$E$1001,MATCH(A39,Productos!$A$2:$A$1001,0)),"SKU no existe en Productos"))</f>
        <v/>
      </c>
      <c r="C39" s="11"/>
      <c r="D39" s="11"/>
      <c r="E39" s="11"/>
      <c r="F39" s="12" t="str">
        <f aca="false">IF(A39="","",SUM(C39:E39))</f>
        <v/>
      </c>
      <c r="G39" s="16" t="str">
        <f aca="false">IF(A39="","",IFERROR(INDEX(Productos!$K$2:$K$1001,MATCH(A39,Productos!$A$2:$A$1001,0)),""))</f>
        <v/>
      </c>
      <c r="H39" s="16" t="str">
        <f aca="false">IF(OR(A39="",G39=""),"",F39*G39)</f>
        <v/>
      </c>
    </row>
    <row r="40" customFormat="false" ht="15" hidden="false" customHeight="false" outlineLevel="0" collapsed="false">
      <c r="A40" s="11"/>
      <c r="B40" s="12" t="str">
        <f aca="false">IF(A40="","",IFERROR(INDEX(Productos!$D$2:$D$1001,MATCH(A40,Productos!$A$2:$A$1001,0))&amp;" — "&amp;INDEX(Productos!$E$2:$E$1001,MATCH(A40,Productos!$A$2:$A$1001,0)),"SKU no existe en Productos"))</f>
        <v/>
      </c>
      <c r="C40" s="11"/>
      <c r="D40" s="11"/>
      <c r="E40" s="11"/>
      <c r="F40" s="12" t="str">
        <f aca="false">IF(A40="","",SUM(C40:E40))</f>
        <v/>
      </c>
      <c r="G40" s="16" t="str">
        <f aca="false">IF(A40="","",IFERROR(INDEX(Productos!$K$2:$K$1001,MATCH(A40,Productos!$A$2:$A$1001,0)),""))</f>
        <v/>
      </c>
      <c r="H40" s="16" t="str">
        <f aca="false">IF(OR(A40="",G40=""),"",F40*G40)</f>
        <v/>
      </c>
    </row>
    <row r="41" customFormat="false" ht="15" hidden="false" customHeight="false" outlineLevel="0" collapsed="false">
      <c r="A41" s="11"/>
      <c r="B41" s="12" t="str">
        <f aca="false">IF(A41="","",IFERROR(INDEX(Productos!$D$2:$D$1001,MATCH(A41,Productos!$A$2:$A$1001,0))&amp;" — "&amp;INDEX(Productos!$E$2:$E$1001,MATCH(A41,Productos!$A$2:$A$1001,0)),"SKU no existe en Productos"))</f>
        <v/>
      </c>
      <c r="C41" s="11"/>
      <c r="D41" s="11"/>
      <c r="E41" s="11"/>
      <c r="F41" s="12" t="str">
        <f aca="false">IF(A41="","",SUM(C41:E41))</f>
        <v/>
      </c>
      <c r="G41" s="16" t="str">
        <f aca="false">IF(A41="","",IFERROR(INDEX(Productos!$K$2:$K$1001,MATCH(A41,Productos!$A$2:$A$1001,0)),""))</f>
        <v/>
      </c>
      <c r="H41" s="16" t="str">
        <f aca="false">IF(OR(A41="",G41=""),"",F41*G41)</f>
        <v/>
      </c>
    </row>
    <row r="42" customFormat="false" ht="15" hidden="false" customHeight="false" outlineLevel="0" collapsed="false">
      <c r="A42" s="11"/>
      <c r="B42" s="12" t="str">
        <f aca="false">IF(A42="","",IFERROR(INDEX(Productos!$D$2:$D$1001,MATCH(A42,Productos!$A$2:$A$1001,0))&amp;" — "&amp;INDEX(Productos!$E$2:$E$1001,MATCH(A42,Productos!$A$2:$A$1001,0)),"SKU no existe en Productos"))</f>
        <v/>
      </c>
      <c r="C42" s="11"/>
      <c r="D42" s="11"/>
      <c r="E42" s="11"/>
      <c r="F42" s="12" t="str">
        <f aca="false">IF(A42="","",SUM(C42:E42))</f>
        <v/>
      </c>
      <c r="G42" s="16" t="str">
        <f aca="false">IF(A42="","",IFERROR(INDEX(Productos!$K$2:$K$1001,MATCH(A42,Productos!$A$2:$A$1001,0)),""))</f>
        <v/>
      </c>
      <c r="H42" s="16" t="str">
        <f aca="false">IF(OR(A42="",G42=""),"",F42*G42)</f>
        <v/>
      </c>
    </row>
    <row r="43" customFormat="false" ht="15" hidden="false" customHeight="false" outlineLevel="0" collapsed="false">
      <c r="A43" s="11"/>
      <c r="B43" s="12" t="str">
        <f aca="false">IF(A43="","",IFERROR(INDEX(Productos!$D$2:$D$1001,MATCH(A43,Productos!$A$2:$A$1001,0))&amp;" — "&amp;INDEX(Productos!$E$2:$E$1001,MATCH(A43,Productos!$A$2:$A$1001,0)),"SKU no existe en Productos"))</f>
        <v/>
      </c>
      <c r="C43" s="11"/>
      <c r="D43" s="11"/>
      <c r="E43" s="11"/>
      <c r="F43" s="12" t="str">
        <f aca="false">IF(A43="","",SUM(C43:E43))</f>
        <v/>
      </c>
      <c r="G43" s="16" t="str">
        <f aca="false">IF(A43="","",IFERROR(INDEX(Productos!$K$2:$K$1001,MATCH(A43,Productos!$A$2:$A$1001,0)),""))</f>
        <v/>
      </c>
      <c r="H43" s="16" t="str">
        <f aca="false">IF(OR(A43="",G43=""),"",F43*G43)</f>
        <v/>
      </c>
    </row>
    <row r="44" customFormat="false" ht="15" hidden="false" customHeight="false" outlineLevel="0" collapsed="false">
      <c r="A44" s="11"/>
      <c r="B44" s="12" t="str">
        <f aca="false">IF(A44="","",IFERROR(INDEX(Productos!$D$2:$D$1001,MATCH(A44,Productos!$A$2:$A$1001,0))&amp;" — "&amp;INDEX(Productos!$E$2:$E$1001,MATCH(A44,Productos!$A$2:$A$1001,0)),"SKU no existe en Productos"))</f>
        <v/>
      </c>
      <c r="C44" s="11"/>
      <c r="D44" s="11"/>
      <c r="E44" s="11"/>
      <c r="F44" s="12" t="str">
        <f aca="false">IF(A44="","",SUM(C44:E44))</f>
        <v/>
      </c>
      <c r="G44" s="16" t="str">
        <f aca="false">IF(A44="","",IFERROR(INDEX(Productos!$K$2:$K$1001,MATCH(A44,Productos!$A$2:$A$1001,0)),""))</f>
        <v/>
      </c>
      <c r="H44" s="16" t="str">
        <f aca="false">IF(OR(A44="",G44=""),"",F44*G44)</f>
        <v/>
      </c>
    </row>
    <row r="45" customFormat="false" ht="15" hidden="false" customHeight="false" outlineLevel="0" collapsed="false">
      <c r="A45" s="11"/>
      <c r="B45" s="12" t="str">
        <f aca="false">IF(A45="","",IFERROR(INDEX(Productos!$D$2:$D$1001,MATCH(A45,Productos!$A$2:$A$1001,0))&amp;" — "&amp;INDEX(Productos!$E$2:$E$1001,MATCH(A45,Productos!$A$2:$A$1001,0)),"SKU no existe en Productos"))</f>
        <v/>
      </c>
      <c r="C45" s="11"/>
      <c r="D45" s="11"/>
      <c r="E45" s="11"/>
      <c r="F45" s="12" t="str">
        <f aca="false">IF(A45="","",SUM(C45:E45))</f>
        <v/>
      </c>
      <c r="G45" s="16" t="str">
        <f aca="false">IF(A45="","",IFERROR(INDEX(Productos!$K$2:$K$1001,MATCH(A45,Productos!$A$2:$A$1001,0)),""))</f>
        <v/>
      </c>
      <c r="H45" s="16" t="str">
        <f aca="false">IF(OR(A45="",G45=""),"",F45*G45)</f>
        <v/>
      </c>
    </row>
    <row r="46" customFormat="false" ht="15" hidden="false" customHeight="false" outlineLevel="0" collapsed="false">
      <c r="A46" s="11"/>
      <c r="B46" s="12" t="str">
        <f aca="false">IF(A46="","",IFERROR(INDEX(Productos!$D$2:$D$1001,MATCH(A46,Productos!$A$2:$A$1001,0))&amp;" — "&amp;INDEX(Productos!$E$2:$E$1001,MATCH(A46,Productos!$A$2:$A$1001,0)),"SKU no existe en Productos"))</f>
        <v/>
      </c>
      <c r="C46" s="11"/>
      <c r="D46" s="11"/>
      <c r="E46" s="11"/>
      <c r="F46" s="12" t="str">
        <f aca="false">IF(A46="","",SUM(C46:E46))</f>
        <v/>
      </c>
      <c r="G46" s="16" t="str">
        <f aca="false">IF(A46="","",IFERROR(INDEX(Productos!$K$2:$K$1001,MATCH(A46,Productos!$A$2:$A$1001,0)),""))</f>
        <v/>
      </c>
      <c r="H46" s="16" t="str">
        <f aca="false">IF(OR(A46="",G46=""),"",F46*G46)</f>
        <v/>
      </c>
    </row>
    <row r="47" customFormat="false" ht="15" hidden="false" customHeight="false" outlineLevel="0" collapsed="false">
      <c r="A47" s="11"/>
      <c r="B47" s="12" t="str">
        <f aca="false">IF(A47="","",IFERROR(INDEX(Productos!$D$2:$D$1001,MATCH(A47,Productos!$A$2:$A$1001,0))&amp;" — "&amp;INDEX(Productos!$E$2:$E$1001,MATCH(A47,Productos!$A$2:$A$1001,0)),"SKU no existe en Productos"))</f>
        <v/>
      </c>
      <c r="C47" s="11"/>
      <c r="D47" s="11"/>
      <c r="E47" s="11"/>
      <c r="F47" s="12" t="str">
        <f aca="false">IF(A47="","",SUM(C47:E47))</f>
        <v/>
      </c>
      <c r="G47" s="16" t="str">
        <f aca="false">IF(A47="","",IFERROR(INDEX(Productos!$K$2:$K$1001,MATCH(A47,Productos!$A$2:$A$1001,0)),""))</f>
        <v/>
      </c>
      <c r="H47" s="16" t="str">
        <f aca="false">IF(OR(A47="",G47=""),"",F47*G47)</f>
        <v/>
      </c>
    </row>
    <row r="48" customFormat="false" ht="15" hidden="false" customHeight="false" outlineLevel="0" collapsed="false">
      <c r="A48" s="11"/>
      <c r="B48" s="12" t="str">
        <f aca="false">IF(A48="","",IFERROR(INDEX(Productos!$D$2:$D$1001,MATCH(A48,Productos!$A$2:$A$1001,0))&amp;" — "&amp;INDEX(Productos!$E$2:$E$1001,MATCH(A48,Productos!$A$2:$A$1001,0)),"SKU no existe en Productos"))</f>
        <v/>
      </c>
      <c r="C48" s="11"/>
      <c r="D48" s="11"/>
      <c r="E48" s="11"/>
      <c r="F48" s="12" t="str">
        <f aca="false">IF(A48="","",SUM(C48:E48))</f>
        <v/>
      </c>
      <c r="G48" s="16" t="str">
        <f aca="false">IF(A48="","",IFERROR(INDEX(Productos!$K$2:$K$1001,MATCH(A48,Productos!$A$2:$A$1001,0)),""))</f>
        <v/>
      </c>
      <c r="H48" s="16" t="str">
        <f aca="false">IF(OR(A48="",G48=""),"",F48*G48)</f>
        <v/>
      </c>
    </row>
    <row r="49" customFormat="false" ht="15" hidden="false" customHeight="false" outlineLevel="0" collapsed="false">
      <c r="A49" s="11"/>
      <c r="B49" s="12" t="str">
        <f aca="false">IF(A49="","",IFERROR(INDEX(Productos!$D$2:$D$1001,MATCH(A49,Productos!$A$2:$A$1001,0))&amp;" — "&amp;INDEX(Productos!$E$2:$E$1001,MATCH(A49,Productos!$A$2:$A$1001,0)),"SKU no existe en Productos"))</f>
        <v/>
      </c>
      <c r="C49" s="11"/>
      <c r="D49" s="11"/>
      <c r="E49" s="11"/>
      <c r="F49" s="12" t="str">
        <f aca="false">IF(A49="","",SUM(C49:E49))</f>
        <v/>
      </c>
      <c r="G49" s="16" t="str">
        <f aca="false">IF(A49="","",IFERROR(INDEX(Productos!$K$2:$K$1001,MATCH(A49,Productos!$A$2:$A$1001,0)),""))</f>
        <v/>
      </c>
      <c r="H49" s="16" t="str">
        <f aca="false">IF(OR(A49="",G49=""),"",F49*G49)</f>
        <v/>
      </c>
    </row>
    <row r="50" customFormat="false" ht="15" hidden="false" customHeight="false" outlineLevel="0" collapsed="false">
      <c r="A50" s="11"/>
      <c r="B50" s="12" t="str">
        <f aca="false">IF(A50="","",IFERROR(INDEX(Productos!$D$2:$D$1001,MATCH(A50,Productos!$A$2:$A$1001,0))&amp;" — "&amp;INDEX(Productos!$E$2:$E$1001,MATCH(A50,Productos!$A$2:$A$1001,0)),"SKU no existe en Productos"))</f>
        <v/>
      </c>
      <c r="C50" s="11"/>
      <c r="D50" s="11"/>
      <c r="E50" s="11"/>
      <c r="F50" s="12" t="str">
        <f aca="false">IF(A50="","",SUM(C50:E50))</f>
        <v/>
      </c>
      <c r="G50" s="16" t="str">
        <f aca="false">IF(A50="","",IFERROR(INDEX(Productos!$K$2:$K$1001,MATCH(A50,Productos!$A$2:$A$1001,0)),""))</f>
        <v/>
      </c>
      <c r="H50" s="16" t="str">
        <f aca="false">IF(OR(A50="",G50=""),"",F50*G50)</f>
        <v/>
      </c>
    </row>
    <row r="51" customFormat="false" ht="15" hidden="false" customHeight="false" outlineLevel="0" collapsed="false">
      <c r="A51" s="11"/>
      <c r="B51" s="12" t="str">
        <f aca="false">IF(A51="","",IFERROR(INDEX(Productos!$D$2:$D$1001,MATCH(A51,Productos!$A$2:$A$1001,0))&amp;" — "&amp;INDEX(Productos!$E$2:$E$1001,MATCH(A51,Productos!$A$2:$A$1001,0)),"SKU no existe en Productos"))</f>
        <v/>
      </c>
      <c r="C51" s="11"/>
      <c r="D51" s="11"/>
      <c r="E51" s="11"/>
      <c r="F51" s="12" t="str">
        <f aca="false">IF(A51="","",SUM(C51:E51))</f>
        <v/>
      </c>
      <c r="G51" s="16" t="str">
        <f aca="false">IF(A51="","",IFERROR(INDEX(Productos!$K$2:$K$1001,MATCH(A51,Productos!$A$2:$A$1001,0)),""))</f>
        <v/>
      </c>
      <c r="H51" s="16" t="str">
        <f aca="false">IF(OR(A51="",G51=""),"",F51*G51)</f>
        <v/>
      </c>
    </row>
    <row r="52" customFormat="false" ht="15" hidden="false" customHeight="false" outlineLevel="0" collapsed="false">
      <c r="A52" s="11"/>
      <c r="B52" s="12" t="str">
        <f aca="false">IF(A52="","",IFERROR(INDEX(Productos!$D$2:$D$1001,MATCH(A52,Productos!$A$2:$A$1001,0))&amp;" — "&amp;INDEX(Productos!$E$2:$E$1001,MATCH(A52,Productos!$A$2:$A$1001,0)),"SKU no existe en Productos"))</f>
        <v/>
      </c>
      <c r="C52" s="11"/>
      <c r="D52" s="11"/>
      <c r="E52" s="11"/>
      <c r="F52" s="12" t="str">
        <f aca="false">IF(A52="","",SUM(C52:E52))</f>
        <v/>
      </c>
      <c r="G52" s="16" t="str">
        <f aca="false">IF(A52="","",IFERROR(INDEX(Productos!$K$2:$K$1001,MATCH(A52,Productos!$A$2:$A$1001,0)),""))</f>
        <v/>
      </c>
      <c r="H52" s="16" t="str">
        <f aca="false">IF(OR(A52="",G52=""),"",F52*G52)</f>
        <v/>
      </c>
    </row>
    <row r="53" customFormat="false" ht="15" hidden="false" customHeight="false" outlineLevel="0" collapsed="false">
      <c r="A53" s="11"/>
      <c r="B53" s="12" t="str">
        <f aca="false">IF(A53="","",IFERROR(INDEX(Productos!$D$2:$D$1001,MATCH(A53,Productos!$A$2:$A$1001,0))&amp;" — "&amp;INDEX(Productos!$E$2:$E$1001,MATCH(A53,Productos!$A$2:$A$1001,0)),"SKU no existe en Productos"))</f>
        <v/>
      </c>
      <c r="C53" s="11"/>
      <c r="D53" s="11"/>
      <c r="E53" s="11"/>
      <c r="F53" s="12" t="str">
        <f aca="false">IF(A53="","",SUM(C53:E53))</f>
        <v/>
      </c>
      <c r="G53" s="16" t="str">
        <f aca="false">IF(A53="","",IFERROR(INDEX(Productos!$K$2:$K$1001,MATCH(A53,Productos!$A$2:$A$1001,0)),""))</f>
        <v/>
      </c>
      <c r="H53" s="16" t="str">
        <f aca="false">IF(OR(A53="",G53=""),"",F53*G53)</f>
        <v/>
      </c>
    </row>
    <row r="54" customFormat="false" ht="15" hidden="false" customHeight="false" outlineLevel="0" collapsed="false">
      <c r="A54" s="11"/>
      <c r="B54" s="12" t="str">
        <f aca="false">IF(A54="","",IFERROR(INDEX(Productos!$D$2:$D$1001,MATCH(A54,Productos!$A$2:$A$1001,0))&amp;" — "&amp;INDEX(Productos!$E$2:$E$1001,MATCH(A54,Productos!$A$2:$A$1001,0)),"SKU no existe en Productos"))</f>
        <v/>
      </c>
      <c r="C54" s="11"/>
      <c r="D54" s="11"/>
      <c r="E54" s="11"/>
      <c r="F54" s="12" t="str">
        <f aca="false">IF(A54="","",SUM(C54:E54))</f>
        <v/>
      </c>
      <c r="G54" s="16" t="str">
        <f aca="false">IF(A54="","",IFERROR(INDEX(Productos!$K$2:$K$1001,MATCH(A54,Productos!$A$2:$A$1001,0)),""))</f>
        <v/>
      </c>
      <c r="H54" s="16" t="str">
        <f aca="false">IF(OR(A54="",G54=""),"",F54*G54)</f>
        <v/>
      </c>
    </row>
    <row r="55" customFormat="false" ht="15" hidden="false" customHeight="false" outlineLevel="0" collapsed="false">
      <c r="A55" s="11"/>
      <c r="B55" s="12" t="str">
        <f aca="false">IF(A55="","",IFERROR(INDEX(Productos!$D$2:$D$1001,MATCH(A55,Productos!$A$2:$A$1001,0))&amp;" — "&amp;INDEX(Productos!$E$2:$E$1001,MATCH(A55,Productos!$A$2:$A$1001,0)),"SKU no existe en Productos"))</f>
        <v/>
      </c>
      <c r="C55" s="11"/>
      <c r="D55" s="11"/>
      <c r="E55" s="11"/>
      <c r="F55" s="12" t="str">
        <f aca="false">IF(A55="","",SUM(C55:E55))</f>
        <v/>
      </c>
      <c r="G55" s="16" t="str">
        <f aca="false">IF(A55="","",IFERROR(INDEX(Productos!$K$2:$K$1001,MATCH(A55,Productos!$A$2:$A$1001,0)),""))</f>
        <v/>
      </c>
      <c r="H55" s="16" t="str">
        <f aca="false">IF(OR(A55="",G55=""),"",F55*G55)</f>
        <v/>
      </c>
    </row>
    <row r="56" customFormat="false" ht="15" hidden="false" customHeight="false" outlineLevel="0" collapsed="false">
      <c r="A56" s="11"/>
      <c r="B56" s="12" t="str">
        <f aca="false">IF(A56="","",IFERROR(INDEX(Productos!$D$2:$D$1001,MATCH(A56,Productos!$A$2:$A$1001,0))&amp;" — "&amp;INDEX(Productos!$E$2:$E$1001,MATCH(A56,Productos!$A$2:$A$1001,0)),"SKU no existe en Productos"))</f>
        <v/>
      </c>
      <c r="C56" s="11"/>
      <c r="D56" s="11"/>
      <c r="E56" s="11"/>
      <c r="F56" s="12" t="str">
        <f aca="false">IF(A56="","",SUM(C56:E56))</f>
        <v/>
      </c>
      <c r="G56" s="16" t="str">
        <f aca="false">IF(A56="","",IFERROR(INDEX(Productos!$K$2:$K$1001,MATCH(A56,Productos!$A$2:$A$1001,0)),""))</f>
        <v/>
      </c>
      <c r="H56" s="16" t="str">
        <f aca="false">IF(OR(A56="",G56=""),"",F56*G56)</f>
        <v/>
      </c>
    </row>
    <row r="57" customFormat="false" ht="15" hidden="false" customHeight="false" outlineLevel="0" collapsed="false">
      <c r="A57" s="11"/>
      <c r="B57" s="12" t="str">
        <f aca="false">IF(A57="","",IFERROR(INDEX(Productos!$D$2:$D$1001,MATCH(A57,Productos!$A$2:$A$1001,0))&amp;" — "&amp;INDEX(Productos!$E$2:$E$1001,MATCH(A57,Productos!$A$2:$A$1001,0)),"SKU no existe en Productos"))</f>
        <v/>
      </c>
      <c r="C57" s="11"/>
      <c r="D57" s="11"/>
      <c r="E57" s="11"/>
      <c r="F57" s="12" t="str">
        <f aca="false">IF(A57="","",SUM(C57:E57))</f>
        <v/>
      </c>
      <c r="G57" s="16" t="str">
        <f aca="false">IF(A57="","",IFERROR(INDEX(Productos!$K$2:$K$1001,MATCH(A57,Productos!$A$2:$A$1001,0)),""))</f>
        <v/>
      </c>
      <c r="H57" s="16" t="str">
        <f aca="false">IF(OR(A57="",G57=""),"",F57*G57)</f>
        <v/>
      </c>
    </row>
    <row r="58" customFormat="false" ht="15" hidden="false" customHeight="false" outlineLevel="0" collapsed="false">
      <c r="A58" s="11"/>
      <c r="B58" s="12" t="str">
        <f aca="false">IF(A58="","",IFERROR(INDEX(Productos!$D$2:$D$1001,MATCH(A58,Productos!$A$2:$A$1001,0))&amp;" — "&amp;INDEX(Productos!$E$2:$E$1001,MATCH(A58,Productos!$A$2:$A$1001,0)),"SKU no existe en Productos"))</f>
        <v/>
      </c>
      <c r="C58" s="11"/>
      <c r="D58" s="11"/>
      <c r="E58" s="11"/>
      <c r="F58" s="12" t="str">
        <f aca="false">IF(A58="","",SUM(C58:E58))</f>
        <v/>
      </c>
      <c r="G58" s="16" t="str">
        <f aca="false">IF(A58="","",IFERROR(INDEX(Productos!$K$2:$K$1001,MATCH(A58,Productos!$A$2:$A$1001,0)),""))</f>
        <v/>
      </c>
      <c r="H58" s="16" t="str">
        <f aca="false">IF(OR(A58="",G58=""),"",F58*G58)</f>
        <v/>
      </c>
    </row>
    <row r="59" customFormat="false" ht="15" hidden="false" customHeight="false" outlineLevel="0" collapsed="false">
      <c r="A59" s="11"/>
      <c r="B59" s="12" t="str">
        <f aca="false">IF(A59="","",IFERROR(INDEX(Productos!$D$2:$D$1001,MATCH(A59,Productos!$A$2:$A$1001,0))&amp;" — "&amp;INDEX(Productos!$E$2:$E$1001,MATCH(A59,Productos!$A$2:$A$1001,0)),"SKU no existe en Productos"))</f>
        <v/>
      </c>
      <c r="C59" s="11"/>
      <c r="D59" s="11"/>
      <c r="E59" s="11"/>
      <c r="F59" s="12" t="str">
        <f aca="false">IF(A59="","",SUM(C59:E59))</f>
        <v/>
      </c>
      <c r="G59" s="16" t="str">
        <f aca="false">IF(A59="","",IFERROR(INDEX(Productos!$K$2:$K$1001,MATCH(A59,Productos!$A$2:$A$1001,0)),""))</f>
        <v/>
      </c>
      <c r="H59" s="16" t="str">
        <f aca="false">IF(OR(A59="",G59=""),"",F59*G59)</f>
        <v/>
      </c>
    </row>
    <row r="60" customFormat="false" ht="15" hidden="false" customHeight="false" outlineLevel="0" collapsed="false">
      <c r="A60" s="11"/>
      <c r="B60" s="12" t="str">
        <f aca="false">IF(A60="","",IFERROR(INDEX(Productos!$D$2:$D$1001,MATCH(A60,Productos!$A$2:$A$1001,0))&amp;" — "&amp;INDEX(Productos!$E$2:$E$1001,MATCH(A60,Productos!$A$2:$A$1001,0)),"SKU no existe en Productos"))</f>
        <v/>
      </c>
      <c r="C60" s="11"/>
      <c r="D60" s="11"/>
      <c r="E60" s="11"/>
      <c r="F60" s="12" t="str">
        <f aca="false">IF(A60="","",SUM(C60:E60))</f>
        <v/>
      </c>
      <c r="G60" s="16" t="str">
        <f aca="false">IF(A60="","",IFERROR(INDEX(Productos!$K$2:$K$1001,MATCH(A60,Productos!$A$2:$A$1001,0)),""))</f>
        <v/>
      </c>
      <c r="H60" s="16" t="str">
        <f aca="false">IF(OR(A60="",G60=""),"",F60*G60)</f>
        <v/>
      </c>
    </row>
    <row r="61" customFormat="false" ht="15" hidden="false" customHeight="false" outlineLevel="0" collapsed="false">
      <c r="A61" s="11"/>
      <c r="B61" s="12" t="str">
        <f aca="false">IF(A61="","",IFERROR(INDEX(Productos!$D$2:$D$1001,MATCH(A61,Productos!$A$2:$A$1001,0))&amp;" — "&amp;INDEX(Productos!$E$2:$E$1001,MATCH(A61,Productos!$A$2:$A$1001,0)),"SKU no existe en Productos"))</f>
        <v/>
      </c>
      <c r="C61" s="11"/>
      <c r="D61" s="11"/>
      <c r="E61" s="11"/>
      <c r="F61" s="12" t="str">
        <f aca="false">IF(A61="","",SUM(C61:E61))</f>
        <v/>
      </c>
      <c r="G61" s="16" t="str">
        <f aca="false">IF(A61="","",IFERROR(INDEX(Productos!$K$2:$K$1001,MATCH(A61,Productos!$A$2:$A$1001,0)),""))</f>
        <v/>
      </c>
      <c r="H61" s="16" t="str">
        <f aca="false">IF(OR(A61="",G61=""),"",F61*G61)</f>
        <v/>
      </c>
    </row>
    <row r="62" customFormat="false" ht="15" hidden="false" customHeight="false" outlineLevel="0" collapsed="false">
      <c r="A62" s="11"/>
      <c r="B62" s="12" t="str">
        <f aca="false">IF(A62="","",IFERROR(INDEX(Productos!$D$2:$D$1001,MATCH(A62,Productos!$A$2:$A$1001,0))&amp;" — "&amp;INDEX(Productos!$E$2:$E$1001,MATCH(A62,Productos!$A$2:$A$1001,0)),"SKU no existe en Productos"))</f>
        <v/>
      </c>
      <c r="C62" s="11"/>
      <c r="D62" s="11"/>
      <c r="E62" s="11"/>
      <c r="F62" s="12" t="str">
        <f aca="false">IF(A62="","",SUM(C62:E62))</f>
        <v/>
      </c>
      <c r="G62" s="16" t="str">
        <f aca="false">IF(A62="","",IFERROR(INDEX(Productos!$K$2:$K$1001,MATCH(A62,Productos!$A$2:$A$1001,0)),""))</f>
        <v/>
      </c>
      <c r="H62" s="16" t="str">
        <f aca="false">IF(OR(A62="",G62=""),"",F62*G62)</f>
        <v/>
      </c>
    </row>
    <row r="63" customFormat="false" ht="15" hidden="false" customHeight="false" outlineLevel="0" collapsed="false">
      <c r="A63" s="11"/>
      <c r="B63" s="12" t="str">
        <f aca="false">IF(A63="","",IFERROR(INDEX(Productos!$D$2:$D$1001,MATCH(A63,Productos!$A$2:$A$1001,0))&amp;" — "&amp;INDEX(Productos!$E$2:$E$1001,MATCH(A63,Productos!$A$2:$A$1001,0)),"SKU no existe en Productos"))</f>
        <v/>
      </c>
      <c r="C63" s="11"/>
      <c r="D63" s="11"/>
      <c r="E63" s="11"/>
      <c r="F63" s="12" t="str">
        <f aca="false">IF(A63="","",SUM(C63:E63))</f>
        <v/>
      </c>
      <c r="G63" s="16" t="str">
        <f aca="false">IF(A63="","",IFERROR(INDEX(Productos!$K$2:$K$1001,MATCH(A63,Productos!$A$2:$A$1001,0)),""))</f>
        <v/>
      </c>
      <c r="H63" s="16" t="str">
        <f aca="false">IF(OR(A63="",G63=""),"",F63*G63)</f>
        <v/>
      </c>
    </row>
    <row r="64" customFormat="false" ht="15" hidden="false" customHeight="false" outlineLevel="0" collapsed="false">
      <c r="A64" s="11"/>
      <c r="B64" s="12" t="str">
        <f aca="false">IF(A64="","",IFERROR(INDEX(Productos!$D$2:$D$1001,MATCH(A64,Productos!$A$2:$A$1001,0))&amp;" — "&amp;INDEX(Productos!$E$2:$E$1001,MATCH(A64,Productos!$A$2:$A$1001,0)),"SKU no existe en Productos"))</f>
        <v/>
      </c>
      <c r="C64" s="11"/>
      <c r="D64" s="11"/>
      <c r="E64" s="11"/>
      <c r="F64" s="12" t="str">
        <f aca="false">IF(A64="","",SUM(C64:E64))</f>
        <v/>
      </c>
      <c r="G64" s="16" t="str">
        <f aca="false">IF(A64="","",IFERROR(INDEX(Productos!$K$2:$K$1001,MATCH(A64,Productos!$A$2:$A$1001,0)),""))</f>
        <v/>
      </c>
      <c r="H64" s="16" t="str">
        <f aca="false">IF(OR(A64="",G64=""),"",F64*G64)</f>
        <v/>
      </c>
    </row>
    <row r="65" customFormat="false" ht="15" hidden="false" customHeight="false" outlineLevel="0" collapsed="false">
      <c r="A65" s="11"/>
      <c r="B65" s="12" t="str">
        <f aca="false">IF(A65="","",IFERROR(INDEX(Productos!$D$2:$D$1001,MATCH(A65,Productos!$A$2:$A$1001,0))&amp;" — "&amp;INDEX(Productos!$E$2:$E$1001,MATCH(A65,Productos!$A$2:$A$1001,0)),"SKU no existe en Productos"))</f>
        <v/>
      </c>
      <c r="C65" s="11"/>
      <c r="D65" s="11"/>
      <c r="E65" s="11"/>
      <c r="F65" s="12" t="str">
        <f aca="false">IF(A65="","",SUM(C65:E65))</f>
        <v/>
      </c>
      <c r="G65" s="16" t="str">
        <f aca="false">IF(A65="","",IFERROR(INDEX(Productos!$K$2:$K$1001,MATCH(A65,Productos!$A$2:$A$1001,0)),""))</f>
        <v/>
      </c>
      <c r="H65" s="16" t="str">
        <f aca="false">IF(OR(A65="",G65=""),"",F65*G65)</f>
        <v/>
      </c>
    </row>
    <row r="66" customFormat="false" ht="15" hidden="false" customHeight="false" outlineLevel="0" collapsed="false">
      <c r="A66" s="11"/>
      <c r="B66" s="12" t="str">
        <f aca="false">IF(A66="","",IFERROR(INDEX(Productos!$D$2:$D$1001,MATCH(A66,Productos!$A$2:$A$1001,0))&amp;" — "&amp;INDEX(Productos!$E$2:$E$1001,MATCH(A66,Productos!$A$2:$A$1001,0)),"SKU no existe en Productos"))</f>
        <v/>
      </c>
      <c r="C66" s="11"/>
      <c r="D66" s="11"/>
      <c r="E66" s="11"/>
      <c r="F66" s="12" t="str">
        <f aca="false">IF(A66="","",SUM(C66:E66))</f>
        <v/>
      </c>
      <c r="G66" s="16" t="str">
        <f aca="false">IF(A66="","",IFERROR(INDEX(Productos!$K$2:$K$1001,MATCH(A66,Productos!$A$2:$A$1001,0)),""))</f>
        <v/>
      </c>
      <c r="H66" s="16" t="str">
        <f aca="false">IF(OR(A66="",G66=""),"",F66*G66)</f>
        <v/>
      </c>
    </row>
    <row r="67" customFormat="false" ht="15" hidden="false" customHeight="false" outlineLevel="0" collapsed="false">
      <c r="A67" s="11"/>
      <c r="B67" s="12" t="str">
        <f aca="false">IF(A67="","",IFERROR(INDEX(Productos!$D$2:$D$1001,MATCH(A67,Productos!$A$2:$A$1001,0))&amp;" — "&amp;INDEX(Productos!$E$2:$E$1001,MATCH(A67,Productos!$A$2:$A$1001,0)),"SKU no existe en Productos"))</f>
        <v/>
      </c>
      <c r="C67" s="11"/>
      <c r="D67" s="11"/>
      <c r="E67" s="11"/>
      <c r="F67" s="12" t="str">
        <f aca="false">IF(A67="","",SUM(C67:E67))</f>
        <v/>
      </c>
      <c r="G67" s="16" t="str">
        <f aca="false">IF(A67="","",IFERROR(INDEX(Productos!$K$2:$K$1001,MATCH(A67,Productos!$A$2:$A$1001,0)),""))</f>
        <v/>
      </c>
      <c r="H67" s="16" t="str">
        <f aca="false">IF(OR(A67="",G67=""),"",F67*G67)</f>
        <v/>
      </c>
    </row>
    <row r="68" customFormat="false" ht="15" hidden="false" customHeight="false" outlineLevel="0" collapsed="false">
      <c r="A68" s="11"/>
      <c r="B68" s="12" t="str">
        <f aca="false">IF(A68="","",IFERROR(INDEX(Productos!$D$2:$D$1001,MATCH(A68,Productos!$A$2:$A$1001,0))&amp;" — "&amp;INDEX(Productos!$E$2:$E$1001,MATCH(A68,Productos!$A$2:$A$1001,0)),"SKU no existe en Productos"))</f>
        <v/>
      </c>
      <c r="C68" s="11"/>
      <c r="D68" s="11"/>
      <c r="E68" s="11"/>
      <c r="F68" s="12" t="str">
        <f aca="false">IF(A68="","",SUM(C68:E68))</f>
        <v/>
      </c>
      <c r="G68" s="16" t="str">
        <f aca="false">IF(A68="","",IFERROR(INDEX(Productos!$K$2:$K$1001,MATCH(A68,Productos!$A$2:$A$1001,0)),""))</f>
        <v/>
      </c>
      <c r="H68" s="16" t="str">
        <f aca="false">IF(OR(A68="",G68=""),"",F68*G68)</f>
        <v/>
      </c>
    </row>
    <row r="69" customFormat="false" ht="15" hidden="false" customHeight="false" outlineLevel="0" collapsed="false">
      <c r="A69" s="11"/>
      <c r="B69" s="12" t="str">
        <f aca="false">IF(A69="","",IFERROR(INDEX(Productos!$D$2:$D$1001,MATCH(A69,Productos!$A$2:$A$1001,0))&amp;" — "&amp;INDEX(Productos!$E$2:$E$1001,MATCH(A69,Productos!$A$2:$A$1001,0)),"SKU no existe en Productos"))</f>
        <v/>
      </c>
      <c r="C69" s="11"/>
      <c r="D69" s="11"/>
      <c r="E69" s="11"/>
      <c r="F69" s="12" t="str">
        <f aca="false">IF(A69="","",SUM(C69:E69))</f>
        <v/>
      </c>
      <c r="G69" s="16" t="str">
        <f aca="false">IF(A69="","",IFERROR(INDEX(Productos!$K$2:$K$1001,MATCH(A69,Productos!$A$2:$A$1001,0)),""))</f>
        <v/>
      </c>
      <c r="H69" s="16" t="str">
        <f aca="false">IF(OR(A69="",G69=""),"",F69*G69)</f>
        <v/>
      </c>
    </row>
    <row r="70" customFormat="false" ht="15" hidden="false" customHeight="false" outlineLevel="0" collapsed="false">
      <c r="A70" s="11"/>
      <c r="B70" s="12" t="str">
        <f aca="false">IF(A70="","",IFERROR(INDEX(Productos!$D$2:$D$1001,MATCH(A70,Productos!$A$2:$A$1001,0))&amp;" — "&amp;INDEX(Productos!$E$2:$E$1001,MATCH(A70,Productos!$A$2:$A$1001,0)),"SKU no existe en Productos"))</f>
        <v/>
      </c>
      <c r="C70" s="11"/>
      <c r="D70" s="11"/>
      <c r="E70" s="11"/>
      <c r="F70" s="12" t="str">
        <f aca="false">IF(A70="","",SUM(C70:E70))</f>
        <v/>
      </c>
      <c r="G70" s="16" t="str">
        <f aca="false">IF(A70="","",IFERROR(INDEX(Productos!$K$2:$K$1001,MATCH(A70,Productos!$A$2:$A$1001,0)),""))</f>
        <v/>
      </c>
      <c r="H70" s="16" t="str">
        <f aca="false">IF(OR(A70="",G70=""),"",F70*G70)</f>
        <v/>
      </c>
    </row>
    <row r="71" customFormat="false" ht="15" hidden="false" customHeight="false" outlineLevel="0" collapsed="false">
      <c r="A71" s="11"/>
      <c r="B71" s="12" t="str">
        <f aca="false">IF(A71="","",IFERROR(INDEX(Productos!$D$2:$D$1001,MATCH(A71,Productos!$A$2:$A$1001,0))&amp;" — "&amp;INDEX(Productos!$E$2:$E$1001,MATCH(A71,Productos!$A$2:$A$1001,0)),"SKU no existe en Productos"))</f>
        <v/>
      </c>
      <c r="C71" s="11"/>
      <c r="D71" s="11"/>
      <c r="E71" s="11"/>
      <c r="F71" s="12" t="str">
        <f aca="false">IF(A71="","",SUM(C71:E71))</f>
        <v/>
      </c>
      <c r="G71" s="16" t="str">
        <f aca="false">IF(A71="","",IFERROR(INDEX(Productos!$K$2:$K$1001,MATCH(A71,Productos!$A$2:$A$1001,0)),""))</f>
        <v/>
      </c>
      <c r="H71" s="16" t="str">
        <f aca="false">IF(OR(A71="",G71=""),"",F71*G71)</f>
        <v/>
      </c>
    </row>
    <row r="72" customFormat="false" ht="15" hidden="false" customHeight="false" outlineLevel="0" collapsed="false">
      <c r="A72" s="11"/>
      <c r="B72" s="12" t="str">
        <f aca="false">IF(A72="","",IFERROR(INDEX(Productos!$D$2:$D$1001,MATCH(A72,Productos!$A$2:$A$1001,0))&amp;" — "&amp;INDEX(Productos!$E$2:$E$1001,MATCH(A72,Productos!$A$2:$A$1001,0)),"SKU no existe en Productos"))</f>
        <v/>
      </c>
      <c r="C72" s="11"/>
      <c r="D72" s="11"/>
      <c r="E72" s="11"/>
      <c r="F72" s="12" t="str">
        <f aca="false">IF(A72="","",SUM(C72:E72))</f>
        <v/>
      </c>
      <c r="G72" s="16" t="str">
        <f aca="false">IF(A72="","",IFERROR(INDEX(Productos!$K$2:$K$1001,MATCH(A72,Productos!$A$2:$A$1001,0)),""))</f>
        <v/>
      </c>
      <c r="H72" s="16" t="str">
        <f aca="false">IF(OR(A72="",G72=""),"",F72*G72)</f>
        <v/>
      </c>
    </row>
    <row r="73" customFormat="false" ht="15" hidden="false" customHeight="false" outlineLevel="0" collapsed="false">
      <c r="A73" s="11"/>
      <c r="B73" s="12" t="str">
        <f aca="false">IF(A73="","",IFERROR(INDEX(Productos!$D$2:$D$1001,MATCH(A73,Productos!$A$2:$A$1001,0))&amp;" — "&amp;INDEX(Productos!$E$2:$E$1001,MATCH(A73,Productos!$A$2:$A$1001,0)),"SKU no existe en Productos"))</f>
        <v/>
      </c>
      <c r="C73" s="11"/>
      <c r="D73" s="11"/>
      <c r="E73" s="11"/>
      <c r="F73" s="12" t="str">
        <f aca="false">IF(A73="","",SUM(C73:E73))</f>
        <v/>
      </c>
      <c r="G73" s="16" t="str">
        <f aca="false">IF(A73="","",IFERROR(INDEX(Productos!$K$2:$K$1001,MATCH(A73,Productos!$A$2:$A$1001,0)),""))</f>
        <v/>
      </c>
      <c r="H73" s="16" t="str">
        <f aca="false">IF(OR(A73="",G73=""),"",F73*G73)</f>
        <v/>
      </c>
    </row>
    <row r="74" customFormat="false" ht="15" hidden="false" customHeight="false" outlineLevel="0" collapsed="false">
      <c r="A74" s="11"/>
      <c r="B74" s="12" t="str">
        <f aca="false">IF(A74="","",IFERROR(INDEX(Productos!$D$2:$D$1001,MATCH(A74,Productos!$A$2:$A$1001,0))&amp;" — "&amp;INDEX(Productos!$E$2:$E$1001,MATCH(A74,Productos!$A$2:$A$1001,0)),"SKU no existe en Productos"))</f>
        <v/>
      </c>
      <c r="C74" s="11"/>
      <c r="D74" s="11"/>
      <c r="E74" s="11"/>
      <c r="F74" s="12" t="str">
        <f aca="false">IF(A74="","",SUM(C74:E74))</f>
        <v/>
      </c>
      <c r="G74" s="16" t="str">
        <f aca="false">IF(A74="","",IFERROR(INDEX(Productos!$K$2:$K$1001,MATCH(A74,Productos!$A$2:$A$1001,0)),""))</f>
        <v/>
      </c>
      <c r="H74" s="16" t="str">
        <f aca="false">IF(OR(A74="",G74=""),"",F74*G74)</f>
        <v/>
      </c>
    </row>
    <row r="75" customFormat="false" ht="15" hidden="false" customHeight="false" outlineLevel="0" collapsed="false">
      <c r="A75" s="11"/>
      <c r="B75" s="12" t="str">
        <f aca="false">IF(A75="","",IFERROR(INDEX(Productos!$D$2:$D$1001,MATCH(A75,Productos!$A$2:$A$1001,0))&amp;" — "&amp;INDEX(Productos!$E$2:$E$1001,MATCH(A75,Productos!$A$2:$A$1001,0)),"SKU no existe en Productos"))</f>
        <v/>
      </c>
      <c r="C75" s="11"/>
      <c r="D75" s="11"/>
      <c r="E75" s="11"/>
      <c r="F75" s="12" t="str">
        <f aca="false">IF(A75="","",SUM(C75:E75))</f>
        <v/>
      </c>
      <c r="G75" s="16" t="str">
        <f aca="false">IF(A75="","",IFERROR(INDEX(Productos!$K$2:$K$1001,MATCH(A75,Productos!$A$2:$A$1001,0)),""))</f>
        <v/>
      </c>
      <c r="H75" s="16" t="str">
        <f aca="false">IF(OR(A75="",G75=""),"",F75*G75)</f>
        <v/>
      </c>
    </row>
    <row r="76" customFormat="false" ht="15" hidden="false" customHeight="false" outlineLevel="0" collapsed="false">
      <c r="A76" s="11"/>
      <c r="B76" s="12" t="str">
        <f aca="false">IF(A76="","",IFERROR(INDEX(Productos!$D$2:$D$1001,MATCH(A76,Productos!$A$2:$A$1001,0))&amp;" — "&amp;INDEX(Productos!$E$2:$E$1001,MATCH(A76,Productos!$A$2:$A$1001,0)),"SKU no existe en Productos"))</f>
        <v/>
      </c>
      <c r="C76" s="11"/>
      <c r="D76" s="11"/>
      <c r="E76" s="11"/>
      <c r="F76" s="12" t="str">
        <f aca="false">IF(A76="","",SUM(C76:E76))</f>
        <v/>
      </c>
      <c r="G76" s="16" t="str">
        <f aca="false">IF(A76="","",IFERROR(INDEX(Productos!$K$2:$K$1001,MATCH(A76,Productos!$A$2:$A$1001,0)),""))</f>
        <v/>
      </c>
      <c r="H76" s="16" t="str">
        <f aca="false">IF(OR(A76="",G76=""),"",F76*G76)</f>
        <v/>
      </c>
    </row>
    <row r="77" customFormat="false" ht="15" hidden="false" customHeight="false" outlineLevel="0" collapsed="false">
      <c r="A77" s="11"/>
      <c r="B77" s="12" t="str">
        <f aca="false">IF(A77="","",IFERROR(INDEX(Productos!$D$2:$D$1001,MATCH(A77,Productos!$A$2:$A$1001,0))&amp;" — "&amp;INDEX(Productos!$E$2:$E$1001,MATCH(A77,Productos!$A$2:$A$1001,0)),"SKU no existe en Productos"))</f>
        <v/>
      </c>
      <c r="C77" s="11"/>
      <c r="D77" s="11"/>
      <c r="E77" s="11"/>
      <c r="F77" s="12" t="str">
        <f aca="false">IF(A77="","",SUM(C77:E77))</f>
        <v/>
      </c>
      <c r="G77" s="16" t="str">
        <f aca="false">IF(A77="","",IFERROR(INDEX(Productos!$K$2:$K$1001,MATCH(A77,Productos!$A$2:$A$1001,0)),""))</f>
        <v/>
      </c>
      <c r="H77" s="16" t="str">
        <f aca="false">IF(OR(A77="",G77=""),"",F77*G77)</f>
        <v/>
      </c>
    </row>
    <row r="78" customFormat="false" ht="15" hidden="false" customHeight="false" outlineLevel="0" collapsed="false">
      <c r="A78" s="11"/>
      <c r="B78" s="12" t="str">
        <f aca="false">IF(A78="","",IFERROR(INDEX(Productos!$D$2:$D$1001,MATCH(A78,Productos!$A$2:$A$1001,0))&amp;" — "&amp;INDEX(Productos!$E$2:$E$1001,MATCH(A78,Productos!$A$2:$A$1001,0)),"SKU no existe en Productos"))</f>
        <v/>
      </c>
      <c r="C78" s="11"/>
      <c r="D78" s="11"/>
      <c r="E78" s="11"/>
      <c r="F78" s="12" t="str">
        <f aca="false">IF(A78="","",SUM(C78:E78))</f>
        <v/>
      </c>
      <c r="G78" s="16" t="str">
        <f aca="false">IF(A78="","",IFERROR(INDEX(Productos!$K$2:$K$1001,MATCH(A78,Productos!$A$2:$A$1001,0)),""))</f>
        <v/>
      </c>
      <c r="H78" s="16" t="str">
        <f aca="false">IF(OR(A78="",G78=""),"",F78*G78)</f>
        <v/>
      </c>
    </row>
    <row r="79" customFormat="false" ht="15" hidden="false" customHeight="false" outlineLevel="0" collapsed="false">
      <c r="A79" s="11"/>
      <c r="B79" s="12" t="str">
        <f aca="false">IF(A79="","",IFERROR(INDEX(Productos!$D$2:$D$1001,MATCH(A79,Productos!$A$2:$A$1001,0))&amp;" — "&amp;INDEX(Productos!$E$2:$E$1001,MATCH(A79,Productos!$A$2:$A$1001,0)),"SKU no existe en Productos"))</f>
        <v/>
      </c>
      <c r="C79" s="11"/>
      <c r="D79" s="11"/>
      <c r="E79" s="11"/>
      <c r="F79" s="12" t="str">
        <f aca="false">IF(A79="","",SUM(C79:E79))</f>
        <v/>
      </c>
      <c r="G79" s="16" t="str">
        <f aca="false">IF(A79="","",IFERROR(INDEX(Productos!$K$2:$K$1001,MATCH(A79,Productos!$A$2:$A$1001,0)),""))</f>
        <v/>
      </c>
      <c r="H79" s="16" t="str">
        <f aca="false">IF(OR(A79="",G79=""),"",F79*G79)</f>
        <v/>
      </c>
    </row>
    <row r="80" customFormat="false" ht="15" hidden="false" customHeight="false" outlineLevel="0" collapsed="false">
      <c r="A80" s="11"/>
      <c r="B80" s="12" t="str">
        <f aca="false">IF(A80="","",IFERROR(INDEX(Productos!$D$2:$D$1001,MATCH(A80,Productos!$A$2:$A$1001,0))&amp;" — "&amp;INDEX(Productos!$E$2:$E$1001,MATCH(A80,Productos!$A$2:$A$1001,0)),"SKU no existe en Productos"))</f>
        <v/>
      </c>
      <c r="C80" s="11"/>
      <c r="D80" s="11"/>
      <c r="E80" s="11"/>
      <c r="F80" s="12" t="str">
        <f aca="false">IF(A80="","",SUM(C80:E80))</f>
        <v/>
      </c>
      <c r="G80" s="16" t="str">
        <f aca="false">IF(A80="","",IFERROR(INDEX(Productos!$K$2:$K$1001,MATCH(A80,Productos!$A$2:$A$1001,0)),""))</f>
        <v/>
      </c>
      <c r="H80" s="16" t="str">
        <f aca="false">IF(OR(A80="",G80=""),"",F80*G80)</f>
        <v/>
      </c>
    </row>
    <row r="81" customFormat="false" ht="15" hidden="false" customHeight="false" outlineLevel="0" collapsed="false">
      <c r="A81" s="11"/>
      <c r="B81" s="12" t="str">
        <f aca="false">IF(A81="","",IFERROR(INDEX(Productos!$D$2:$D$1001,MATCH(A81,Productos!$A$2:$A$1001,0))&amp;" — "&amp;INDEX(Productos!$E$2:$E$1001,MATCH(A81,Productos!$A$2:$A$1001,0)),"SKU no existe en Productos"))</f>
        <v/>
      </c>
      <c r="C81" s="11"/>
      <c r="D81" s="11"/>
      <c r="E81" s="11"/>
      <c r="F81" s="12" t="str">
        <f aca="false">IF(A81="","",SUM(C81:E81))</f>
        <v/>
      </c>
      <c r="G81" s="16" t="str">
        <f aca="false">IF(A81="","",IFERROR(INDEX(Productos!$K$2:$K$1001,MATCH(A81,Productos!$A$2:$A$1001,0)),""))</f>
        <v/>
      </c>
      <c r="H81" s="16" t="str">
        <f aca="false">IF(OR(A81="",G81=""),"",F81*G81)</f>
        <v/>
      </c>
    </row>
    <row r="82" customFormat="false" ht="15" hidden="false" customHeight="false" outlineLevel="0" collapsed="false">
      <c r="A82" s="11"/>
      <c r="B82" s="12" t="str">
        <f aca="false">IF(A82="","",IFERROR(INDEX(Productos!$D$2:$D$1001,MATCH(A82,Productos!$A$2:$A$1001,0))&amp;" — "&amp;INDEX(Productos!$E$2:$E$1001,MATCH(A82,Productos!$A$2:$A$1001,0)),"SKU no existe en Productos"))</f>
        <v/>
      </c>
      <c r="C82" s="11"/>
      <c r="D82" s="11"/>
      <c r="E82" s="11"/>
      <c r="F82" s="12" t="str">
        <f aca="false">IF(A82="","",SUM(C82:E82))</f>
        <v/>
      </c>
      <c r="G82" s="16" t="str">
        <f aca="false">IF(A82="","",IFERROR(INDEX(Productos!$K$2:$K$1001,MATCH(A82,Productos!$A$2:$A$1001,0)),""))</f>
        <v/>
      </c>
      <c r="H82" s="16" t="str">
        <f aca="false">IF(OR(A82="",G82=""),"",F82*G82)</f>
        <v/>
      </c>
    </row>
    <row r="83" customFormat="false" ht="15" hidden="false" customHeight="false" outlineLevel="0" collapsed="false">
      <c r="A83" s="11"/>
      <c r="B83" s="12" t="str">
        <f aca="false">IF(A83="","",IFERROR(INDEX(Productos!$D$2:$D$1001,MATCH(A83,Productos!$A$2:$A$1001,0))&amp;" — "&amp;INDEX(Productos!$E$2:$E$1001,MATCH(A83,Productos!$A$2:$A$1001,0)),"SKU no existe en Productos"))</f>
        <v/>
      </c>
      <c r="C83" s="11"/>
      <c r="D83" s="11"/>
      <c r="E83" s="11"/>
      <c r="F83" s="12" t="str">
        <f aca="false">IF(A83="","",SUM(C83:E83))</f>
        <v/>
      </c>
      <c r="G83" s="16" t="str">
        <f aca="false">IF(A83="","",IFERROR(INDEX(Productos!$K$2:$K$1001,MATCH(A83,Productos!$A$2:$A$1001,0)),""))</f>
        <v/>
      </c>
      <c r="H83" s="16" t="str">
        <f aca="false">IF(OR(A83="",G83=""),"",F83*G83)</f>
        <v/>
      </c>
    </row>
    <row r="84" customFormat="false" ht="15" hidden="false" customHeight="false" outlineLevel="0" collapsed="false">
      <c r="A84" s="11"/>
      <c r="B84" s="12" t="str">
        <f aca="false">IF(A84="","",IFERROR(INDEX(Productos!$D$2:$D$1001,MATCH(A84,Productos!$A$2:$A$1001,0))&amp;" — "&amp;INDEX(Productos!$E$2:$E$1001,MATCH(A84,Productos!$A$2:$A$1001,0)),"SKU no existe en Productos"))</f>
        <v/>
      </c>
      <c r="C84" s="11"/>
      <c r="D84" s="11"/>
      <c r="E84" s="11"/>
      <c r="F84" s="12" t="str">
        <f aca="false">IF(A84="","",SUM(C84:E84))</f>
        <v/>
      </c>
      <c r="G84" s="16" t="str">
        <f aca="false">IF(A84="","",IFERROR(INDEX(Productos!$K$2:$K$1001,MATCH(A84,Productos!$A$2:$A$1001,0)),""))</f>
        <v/>
      </c>
      <c r="H84" s="16" t="str">
        <f aca="false">IF(OR(A84="",G84=""),"",F84*G84)</f>
        <v/>
      </c>
    </row>
    <row r="85" customFormat="false" ht="15" hidden="false" customHeight="false" outlineLevel="0" collapsed="false">
      <c r="A85" s="11"/>
      <c r="B85" s="12" t="str">
        <f aca="false">IF(A85="","",IFERROR(INDEX(Productos!$D$2:$D$1001,MATCH(A85,Productos!$A$2:$A$1001,0))&amp;" — "&amp;INDEX(Productos!$E$2:$E$1001,MATCH(A85,Productos!$A$2:$A$1001,0)),"SKU no existe en Productos"))</f>
        <v/>
      </c>
      <c r="C85" s="11"/>
      <c r="D85" s="11"/>
      <c r="E85" s="11"/>
      <c r="F85" s="12" t="str">
        <f aca="false">IF(A85="","",SUM(C85:E85))</f>
        <v/>
      </c>
      <c r="G85" s="16" t="str">
        <f aca="false">IF(A85="","",IFERROR(INDEX(Productos!$K$2:$K$1001,MATCH(A85,Productos!$A$2:$A$1001,0)),""))</f>
        <v/>
      </c>
      <c r="H85" s="16" t="str">
        <f aca="false">IF(OR(A85="",G85=""),"",F85*G85)</f>
        <v/>
      </c>
    </row>
    <row r="86" customFormat="false" ht="15" hidden="false" customHeight="false" outlineLevel="0" collapsed="false">
      <c r="A86" s="11"/>
      <c r="B86" s="12" t="str">
        <f aca="false">IF(A86="","",IFERROR(INDEX(Productos!$D$2:$D$1001,MATCH(A86,Productos!$A$2:$A$1001,0))&amp;" — "&amp;INDEX(Productos!$E$2:$E$1001,MATCH(A86,Productos!$A$2:$A$1001,0)),"SKU no existe en Productos"))</f>
        <v/>
      </c>
      <c r="C86" s="11"/>
      <c r="D86" s="11"/>
      <c r="E86" s="11"/>
      <c r="F86" s="12" t="str">
        <f aca="false">IF(A86="","",SUM(C86:E86))</f>
        <v/>
      </c>
      <c r="G86" s="16" t="str">
        <f aca="false">IF(A86="","",IFERROR(INDEX(Productos!$K$2:$K$1001,MATCH(A86,Productos!$A$2:$A$1001,0)),""))</f>
        <v/>
      </c>
      <c r="H86" s="16" t="str">
        <f aca="false">IF(OR(A86="",G86=""),"",F86*G86)</f>
        <v/>
      </c>
    </row>
    <row r="87" customFormat="false" ht="15" hidden="false" customHeight="false" outlineLevel="0" collapsed="false">
      <c r="A87" s="11"/>
      <c r="B87" s="12" t="str">
        <f aca="false">IF(A87="","",IFERROR(INDEX(Productos!$D$2:$D$1001,MATCH(A87,Productos!$A$2:$A$1001,0))&amp;" — "&amp;INDEX(Productos!$E$2:$E$1001,MATCH(A87,Productos!$A$2:$A$1001,0)),"SKU no existe en Productos"))</f>
        <v/>
      </c>
      <c r="C87" s="11"/>
      <c r="D87" s="11"/>
      <c r="E87" s="11"/>
      <c r="F87" s="12" t="str">
        <f aca="false">IF(A87="","",SUM(C87:E87))</f>
        <v/>
      </c>
      <c r="G87" s="16" t="str">
        <f aca="false">IF(A87="","",IFERROR(INDEX(Productos!$K$2:$K$1001,MATCH(A87,Productos!$A$2:$A$1001,0)),""))</f>
        <v/>
      </c>
      <c r="H87" s="16" t="str">
        <f aca="false">IF(OR(A87="",G87=""),"",F87*G87)</f>
        <v/>
      </c>
    </row>
    <row r="88" customFormat="false" ht="15" hidden="false" customHeight="false" outlineLevel="0" collapsed="false">
      <c r="A88" s="11"/>
      <c r="B88" s="12" t="str">
        <f aca="false">IF(A88="","",IFERROR(INDEX(Productos!$D$2:$D$1001,MATCH(A88,Productos!$A$2:$A$1001,0))&amp;" — "&amp;INDEX(Productos!$E$2:$E$1001,MATCH(A88,Productos!$A$2:$A$1001,0)),"SKU no existe en Productos"))</f>
        <v/>
      </c>
      <c r="C88" s="11"/>
      <c r="D88" s="11"/>
      <c r="E88" s="11"/>
      <c r="F88" s="12" t="str">
        <f aca="false">IF(A88="","",SUM(C88:E88))</f>
        <v/>
      </c>
      <c r="G88" s="16" t="str">
        <f aca="false">IF(A88="","",IFERROR(INDEX(Productos!$K$2:$K$1001,MATCH(A88,Productos!$A$2:$A$1001,0)),""))</f>
        <v/>
      </c>
      <c r="H88" s="16" t="str">
        <f aca="false">IF(OR(A88="",G88=""),"",F88*G88)</f>
        <v/>
      </c>
    </row>
    <row r="89" customFormat="false" ht="15" hidden="false" customHeight="false" outlineLevel="0" collapsed="false">
      <c r="A89" s="11"/>
      <c r="B89" s="12" t="str">
        <f aca="false">IF(A89="","",IFERROR(INDEX(Productos!$D$2:$D$1001,MATCH(A89,Productos!$A$2:$A$1001,0))&amp;" — "&amp;INDEX(Productos!$E$2:$E$1001,MATCH(A89,Productos!$A$2:$A$1001,0)),"SKU no existe en Productos"))</f>
        <v/>
      </c>
      <c r="C89" s="11"/>
      <c r="D89" s="11"/>
      <c r="E89" s="11"/>
      <c r="F89" s="12" t="str">
        <f aca="false">IF(A89="","",SUM(C89:E89))</f>
        <v/>
      </c>
      <c r="G89" s="16" t="str">
        <f aca="false">IF(A89="","",IFERROR(INDEX(Productos!$K$2:$K$1001,MATCH(A89,Productos!$A$2:$A$1001,0)),""))</f>
        <v/>
      </c>
      <c r="H89" s="16" t="str">
        <f aca="false">IF(OR(A89="",G89=""),"",F89*G89)</f>
        <v/>
      </c>
    </row>
    <row r="90" customFormat="false" ht="15" hidden="false" customHeight="false" outlineLevel="0" collapsed="false">
      <c r="A90" s="11"/>
      <c r="B90" s="12" t="str">
        <f aca="false">IF(A90="","",IFERROR(INDEX(Productos!$D$2:$D$1001,MATCH(A90,Productos!$A$2:$A$1001,0))&amp;" — "&amp;INDEX(Productos!$E$2:$E$1001,MATCH(A90,Productos!$A$2:$A$1001,0)),"SKU no existe en Productos"))</f>
        <v/>
      </c>
      <c r="C90" s="11"/>
      <c r="D90" s="11"/>
      <c r="E90" s="11"/>
      <c r="F90" s="12" t="str">
        <f aca="false">IF(A90="","",SUM(C90:E90))</f>
        <v/>
      </c>
      <c r="G90" s="16" t="str">
        <f aca="false">IF(A90="","",IFERROR(INDEX(Productos!$K$2:$K$1001,MATCH(A90,Productos!$A$2:$A$1001,0)),""))</f>
        <v/>
      </c>
      <c r="H90" s="16" t="str">
        <f aca="false">IF(OR(A90="",G90=""),"",F90*G90)</f>
        <v/>
      </c>
    </row>
    <row r="91" customFormat="false" ht="15" hidden="false" customHeight="false" outlineLevel="0" collapsed="false">
      <c r="A91" s="11"/>
      <c r="B91" s="12" t="str">
        <f aca="false">IF(A91="","",IFERROR(INDEX(Productos!$D$2:$D$1001,MATCH(A91,Productos!$A$2:$A$1001,0))&amp;" — "&amp;INDEX(Productos!$E$2:$E$1001,MATCH(A91,Productos!$A$2:$A$1001,0)),"SKU no existe en Productos"))</f>
        <v/>
      </c>
      <c r="C91" s="11"/>
      <c r="D91" s="11"/>
      <c r="E91" s="11"/>
      <c r="F91" s="12" t="str">
        <f aca="false">IF(A91="","",SUM(C91:E91))</f>
        <v/>
      </c>
      <c r="G91" s="16" t="str">
        <f aca="false">IF(A91="","",IFERROR(INDEX(Productos!$K$2:$K$1001,MATCH(A91,Productos!$A$2:$A$1001,0)),""))</f>
        <v/>
      </c>
      <c r="H91" s="16" t="str">
        <f aca="false">IF(OR(A91="",G91=""),"",F91*G91)</f>
        <v/>
      </c>
    </row>
    <row r="92" customFormat="false" ht="15" hidden="false" customHeight="false" outlineLevel="0" collapsed="false">
      <c r="A92" s="11"/>
      <c r="B92" s="12" t="str">
        <f aca="false">IF(A92="","",IFERROR(INDEX(Productos!$D$2:$D$1001,MATCH(A92,Productos!$A$2:$A$1001,0))&amp;" — "&amp;INDEX(Productos!$E$2:$E$1001,MATCH(A92,Productos!$A$2:$A$1001,0)),"SKU no existe en Productos"))</f>
        <v/>
      </c>
      <c r="C92" s="11"/>
      <c r="D92" s="11"/>
      <c r="E92" s="11"/>
      <c r="F92" s="12" t="str">
        <f aca="false">IF(A92="","",SUM(C92:E92))</f>
        <v/>
      </c>
      <c r="G92" s="16" t="str">
        <f aca="false">IF(A92="","",IFERROR(INDEX(Productos!$K$2:$K$1001,MATCH(A92,Productos!$A$2:$A$1001,0)),""))</f>
        <v/>
      </c>
      <c r="H92" s="16" t="str">
        <f aca="false">IF(OR(A92="",G92=""),"",F92*G92)</f>
        <v/>
      </c>
    </row>
    <row r="93" customFormat="false" ht="15" hidden="false" customHeight="false" outlineLevel="0" collapsed="false">
      <c r="A93" s="11"/>
      <c r="B93" s="12" t="str">
        <f aca="false">IF(A93="","",IFERROR(INDEX(Productos!$D$2:$D$1001,MATCH(A93,Productos!$A$2:$A$1001,0))&amp;" — "&amp;INDEX(Productos!$E$2:$E$1001,MATCH(A93,Productos!$A$2:$A$1001,0)),"SKU no existe en Productos"))</f>
        <v/>
      </c>
      <c r="C93" s="11"/>
      <c r="D93" s="11"/>
      <c r="E93" s="11"/>
      <c r="F93" s="12" t="str">
        <f aca="false">IF(A93="","",SUM(C93:E93))</f>
        <v/>
      </c>
      <c r="G93" s="16" t="str">
        <f aca="false">IF(A93="","",IFERROR(INDEX(Productos!$K$2:$K$1001,MATCH(A93,Productos!$A$2:$A$1001,0)),""))</f>
        <v/>
      </c>
      <c r="H93" s="16" t="str">
        <f aca="false">IF(OR(A93="",G93=""),"",F93*G93)</f>
        <v/>
      </c>
    </row>
    <row r="94" customFormat="false" ht="15" hidden="false" customHeight="false" outlineLevel="0" collapsed="false">
      <c r="A94" s="11"/>
      <c r="B94" s="12" t="str">
        <f aca="false">IF(A94="","",IFERROR(INDEX(Productos!$D$2:$D$1001,MATCH(A94,Productos!$A$2:$A$1001,0))&amp;" — "&amp;INDEX(Productos!$E$2:$E$1001,MATCH(A94,Productos!$A$2:$A$1001,0)),"SKU no existe en Productos"))</f>
        <v/>
      </c>
      <c r="C94" s="11"/>
      <c r="D94" s="11"/>
      <c r="E94" s="11"/>
      <c r="F94" s="12" t="str">
        <f aca="false">IF(A94="","",SUM(C94:E94))</f>
        <v/>
      </c>
      <c r="G94" s="16" t="str">
        <f aca="false">IF(A94="","",IFERROR(INDEX(Productos!$K$2:$K$1001,MATCH(A94,Productos!$A$2:$A$1001,0)),""))</f>
        <v/>
      </c>
      <c r="H94" s="16" t="str">
        <f aca="false">IF(OR(A94="",G94=""),"",F94*G94)</f>
        <v/>
      </c>
    </row>
    <row r="95" customFormat="false" ht="15" hidden="false" customHeight="false" outlineLevel="0" collapsed="false">
      <c r="A95" s="11"/>
      <c r="B95" s="12" t="str">
        <f aca="false">IF(A95="","",IFERROR(INDEX(Productos!$D$2:$D$1001,MATCH(A95,Productos!$A$2:$A$1001,0))&amp;" — "&amp;INDEX(Productos!$E$2:$E$1001,MATCH(A95,Productos!$A$2:$A$1001,0)),"SKU no existe en Productos"))</f>
        <v/>
      </c>
      <c r="C95" s="11"/>
      <c r="D95" s="11"/>
      <c r="E95" s="11"/>
      <c r="F95" s="12" t="str">
        <f aca="false">IF(A95="","",SUM(C95:E95))</f>
        <v/>
      </c>
      <c r="G95" s="16" t="str">
        <f aca="false">IF(A95="","",IFERROR(INDEX(Productos!$K$2:$K$1001,MATCH(A95,Productos!$A$2:$A$1001,0)),""))</f>
        <v/>
      </c>
      <c r="H95" s="16" t="str">
        <f aca="false">IF(OR(A95="",G95=""),"",F95*G95)</f>
        <v/>
      </c>
    </row>
    <row r="96" customFormat="false" ht="15" hidden="false" customHeight="false" outlineLevel="0" collapsed="false">
      <c r="A96" s="11"/>
      <c r="B96" s="12" t="str">
        <f aca="false">IF(A96="","",IFERROR(INDEX(Productos!$D$2:$D$1001,MATCH(A96,Productos!$A$2:$A$1001,0))&amp;" — "&amp;INDEX(Productos!$E$2:$E$1001,MATCH(A96,Productos!$A$2:$A$1001,0)),"SKU no existe en Productos"))</f>
        <v/>
      </c>
      <c r="C96" s="11"/>
      <c r="D96" s="11"/>
      <c r="E96" s="11"/>
      <c r="F96" s="12" t="str">
        <f aca="false">IF(A96="","",SUM(C96:E96))</f>
        <v/>
      </c>
      <c r="G96" s="16" t="str">
        <f aca="false">IF(A96="","",IFERROR(INDEX(Productos!$K$2:$K$1001,MATCH(A96,Productos!$A$2:$A$1001,0)),""))</f>
        <v/>
      </c>
      <c r="H96" s="16" t="str">
        <f aca="false">IF(OR(A96="",G96=""),"",F96*G96)</f>
        <v/>
      </c>
    </row>
    <row r="97" customFormat="false" ht="15" hidden="false" customHeight="false" outlineLevel="0" collapsed="false">
      <c r="A97" s="11"/>
      <c r="B97" s="12" t="str">
        <f aca="false">IF(A97="","",IFERROR(INDEX(Productos!$D$2:$D$1001,MATCH(A97,Productos!$A$2:$A$1001,0))&amp;" — "&amp;INDEX(Productos!$E$2:$E$1001,MATCH(A97,Productos!$A$2:$A$1001,0)),"SKU no existe en Productos"))</f>
        <v/>
      </c>
      <c r="C97" s="11"/>
      <c r="D97" s="11"/>
      <c r="E97" s="11"/>
      <c r="F97" s="12" t="str">
        <f aca="false">IF(A97="","",SUM(C97:E97))</f>
        <v/>
      </c>
      <c r="G97" s="16" t="str">
        <f aca="false">IF(A97="","",IFERROR(INDEX(Productos!$K$2:$K$1001,MATCH(A97,Productos!$A$2:$A$1001,0)),""))</f>
        <v/>
      </c>
      <c r="H97" s="16" t="str">
        <f aca="false">IF(OR(A97="",G97=""),"",F97*G97)</f>
        <v/>
      </c>
    </row>
    <row r="98" customFormat="false" ht="15" hidden="false" customHeight="false" outlineLevel="0" collapsed="false">
      <c r="A98" s="11"/>
      <c r="B98" s="12" t="str">
        <f aca="false">IF(A98="","",IFERROR(INDEX(Productos!$D$2:$D$1001,MATCH(A98,Productos!$A$2:$A$1001,0))&amp;" — "&amp;INDEX(Productos!$E$2:$E$1001,MATCH(A98,Productos!$A$2:$A$1001,0)),"SKU no existe en Productos"))</f>
        <v/>
      </c>
      <c r="C98" s="11"/>
      <c r="D98" s="11"/>
      <c r="E98" s="11"/>
      <c r="F98" s="12" t="str">
        <f aca="false">IF(A98="","",SUM(C98:E98))</f>
        <v/>
      </c>
      <c r="G98" s="16" t="str">
        <f aca="false">IF(A98="","",IFERROR(INDEX(Productos!$K$2:$K$1001,MATCH(A98,Productos!$A$2:$A$1001,0)),""))</f>
        <v/>
      </c>
      <c r="H98" s="16" t="str">
        <f aca="false">IF(OR(A98="",G98=""),"",F98*G98)</f>
        <v/>
      </c>
    </row>
    <row r="99" customFormat="false" ht="15" hidden="false" customHeight="false" outlineLevel="0" collapsed="false">
      <c r="A99" s="11"/>
      <c r="B99" s="12" t="str">
        <f aca="false">IF(A99="","",IFERROR(INDEX(Productos!$D$2:$D$1001,MATCH(A99,Productos!$A$2:$A$1001,0))&amp;" — "&amp;INDEX(Productos!$E$2:$E$1001,MATCH(A99,Productos!$A$2:$A$1001,0)),"SKU no existe en Productos"))</f>
        <v/>
      </c>
      <c r="C99" s="11"/>
      <c r="D99" s="11"/>
      <c r="E99" s="11"/>
      <c r="F99" s="12" t="str">
        <f aca="false">IF(A99="","",SUM(C99:E99))</f>
        <v/>
      </c>
      <c r="G99" s="16" t="str">
        <f aca="false">IF(A99="","",IFERROR(INDEX(Productos!$K$2:$K$1001,MATCH(A99,Productos!$A$2:$A$1001,0)),""))</f>
        <v/>
      </c>
      <c r="H99" s="16" t="str">
        <f aca="false">IF(OR(A99="",G99=""),"",F99*G99)</f>
        <v/>
      </c>
    </row>
    <row r="100" customFormat="false" ht="15" hidden="false" customHeight="false" outlineLevel="0" collapsed="false">
      <c r="A100" s="11"/>
      <c r="B100" s="12" t="str">
        <f aca="false">IF(A100="","",IFERROR(INDEX(Productos!$D$2:$D$1001,MATCH(A100,Productos!$A$2:$A$1001,0))&amp;" — "&amp;INDEX(Productos!$E$2:$E$1001,MATCH(A100,Productos!$A$2:$A$1001,0)),"SKU no existe en Productos"))</f>
        <v/>
      </c>
      <c r="C100" s="11"/>
      <c r="D100" s="11"/>
      <c r="E100" s="11"/>
      <c r="F100" s="12" t="str">
        <f aca="false">IF(A100="","",SUM(C100:E100))</f>
        <v/>
      </c>
      <c r="G100" s="16" t="str">
        <f aca="false">IF(A100="","",IFERROR(INDEX(Productos!$K$2:$K$1001,MATCH(A100,Productos!$A$2:$A$1001,0)),""))</f>
        <v/>
      </c>
      <c r="H100" s="16" t="str">
        <f aca="false">IF(OR(A100="",G100=""),"",F100*G100)</f>
        <v/>
      </c>
    </row>
    <row r="101" customFormat="false" ht="15" hidden="false" customHeight="false" outlineLevel="0" collapsed="false">
      <c r="A101" s="11"/>
      <c r="B101" s="12" t="str">
        <f aca="false">IF(A101="","",IFERROR(INDEX(Productos!$D$2:$D$1001,MATCH(A101,Productos!$A$2:$A$1001,0))&amp;" — "&amp;INDEX(Productos!$E$2:$E$1001,MATCH(A101,Productos!$A$2:$A$1001,0)),"SKU no existe en Productos"))</f>
        <v/>
      </c>
      <c r="C101" s="11"/>
      <c r="D101" s="11"/>
      <c r="E101" s="11"/>
      <c r="F101" s="12" t="str">
        <f aca="false">IF(A101="","",SUM(C101:E101))</f>
        <v/>
      </c>
      <c r="G101" s="16" t="str">
        <f aca="false">IF(A101="","",IFERROR(INDEX(Productos!$K$2:$K$1001,MATCH(A101,Productos!$A$2:$A$1001,0)),""))</f>
        <v/>
      </c>
      <c r="H101" s="16" t="str">
        <f aca="false">IF(OR(A101="",G101=""),"",F101*G101)</f>
        <v/>
      </c>
    </row>
    <row r="102" customFormat="false" ht="15" hidden="false" customHeight="false" outlineLevel="0" collapsed="false">
      <c r="A102" s="11"/>
      <c r="B102" s="12" t="str">
        <f aca="false">IF(A102="","",IFERROR(INDEX(Productos!$D$2:$D$1001,MATCH(A102,Productos!$A$2:$A$1001,0))&amp;" — "&amp;INDEX(Productos!$E$2:$E$1001,MATCH(A102,Productos!$A$2:$A$1001,0)),"SKU no existe en Productos"))</f>
        <v/>
      </c>
      <c r="C102" s="11"/>
      <c r="D102" s="11"/>
      <c r="E102" s="11"/>
      <c r="F102" s="12" t="str">
        <f aca="false">IF(A102="","",SUM(C102:E102))</f>
        <v/>
      </c>
      <c r="G102" s="16" t="str">
        <f aca="false">IF(A102="","",IFERROR(INDEX(Productos!$K$2:$K$1001,MATCH(A102,Productos!$A$2:$A$1001,0)),""))</f>
        <v/>
      </c>
      <c r="H102" s="16" t="str">
        <f aca="false">IF(OR(A102="",G102=""),"",F102*G102)</f>
        <v/>
      </c>
    </row>
    <row r="103" customFormat="false" ht="15" hidden="false" customHeight="false" outlineLevel="0" collapsed="false">
      <c r="A103" s="11"/>
      <c r="B103" s="12" t="str">
        <f aca="false">IF(A103="","",IFERROR(INDEX(Productos!$D$2:$D$1001,MATCH(A103,Productos!$A$2:$A$1001,0))&amp;" — "&amp;INDEX(Productos!$E$2:$E$1001,MATCH(A103,Productos!$A$2:$A$1001,0)),"SKU no existe en Productos"))</f>
        <v/>
      </c>
      <c r="C103" s="11"/>
      <c r="D103" s="11"/>
      <c r="E103" s="11"/>
      <c r="F103" s="12" t="str">
        <f aca="false">IF(A103="","",SUM(C103:E103))</f>
        <v/>
      </c>
      <c r="G103" s="16" t="str">
        <f aca="false">IF(A103="","",IFERROR(INDEX(Productos!$K$2:$K$1001,MATCH(A103,Productos!$A$2:$A$1001,0)),""))</f>
        <v/>
      </c>
      <c r="H103" s="16" t="str">
        <f aca="false">IF(OR(A103="",G103=""),"",F103*G103)</f>
        <v/>
      </c>
    </row>
    <row r="104" customFormat="false" ht="15" hidden="false" customHeight="false" outlineLevel="0" collapsed="false">
      <c r="A104" s="11"/>
      <c r="B104" s="12" t="str">
        <f aca="false">IF(A104="","",IFERROR(INDEX(Productos!$D$2:$D$1001,MATCH(A104,Productos!$A$2:$A$1001,0))&amp;" — "&amp;INDEX(Productos!$E$2:$E$1001,MATCH(A104,Productos!$A$2:$A$1001,0)),"SKU no existe en Productos"))</f>
        <v/>
      </c>
      <c r="C104" s="11"/>
      <c r="D104" s="11"/>
      <c r="E104" s="11"/>
      <c r="F104" s="12" t="str">
        <f aca="false">IF(A104="","",SUM(C104:E104))</f>
        <v/>
      </c>
      <c r="G104" s="16" t="str">
        <f aca="false">IF(A104="","",IFERROR(INDEX(Productos!$K$2:$K$1001,MATCH(A104,Productos!$A$2:$A$1001,0)),""))</f>
        <v/>
      </c>
      <c r="H104" s="16" t="str">
        <f aca="false">IF(OR(A104="",G104=""),"",F104*G104)</f>
        <v/>
      </c>
    </row>
    <row r="105" customFormat="false" ht="15" hidden="false" customHeight="false" outlineLevel="0" collapsed="false">
      <c r="A105" s="11"/>
      <c r="B105" s="12" t="str">
        <f aca="false">IF(A105="","",IFERROR(INDEX(Productos!$D$2:$D$1001,MATCH(A105,Productos!$A$2:$A$1001,0))&amp;" — "&amp;INDEX(Productos!$E$2:$E$1001,MATCH(A105,Productos!$A$2:$A$1001,0)),"SKU no existe en Productos"))</f>
        <v/>
      </c>
      <c r="C105" s="11"/>
      <c r="D105" s="11"/>
      <c r="E105" s="11"/>
      <c r="F105" s="12" t="str">
        <f aca="false">IF(A105="","",SUM(C105:E105))</f>
        <v/>
      </c>
      <c r="G105" s="16" t="str">
        <f aca="false">IF(A105="","",IFERROR(INDEX(Productos!$K$2:$K$1001,MATCH(A105,Productos!$A$2:$A$1001,0)),""))</f>
        <v/>
      </c>
      <c r="H105" s="16" t="str">
        <f aca="false">IF(OR(A105="",G105=""),"",F105*G105)</f>
        <v/>
      </c>
    </row>
    <row r="106" customFormat="false" ht="15" hidden="false" customHeight="false" outlineLevel="0" collapsed="false">
      <c r="A106" s="11"/>
      <c r="B106" s="12" t="str">
        <f aca="false">IF(A106="","",IFERROR(INDEX(Productos!$D$2:$D$1001,MATCH(A106,Productos!$A$2:$A$1001,0))&amp;" — "&amp;INDEX(Productos!$E$2:$E$1001,MATCH(A106,Productos!$A$2:$A$1001,0)),"SKU no existe en Productos"))</f>
        <v/>
      </c>
      <c r="C106" s="11"/>
      <c r="D106" s="11"/>
      <c r="E106" s="11"/>
      <c r="F106" s="12" t="str">
        <f aca="false">IF(A106="","",SUM(C106:E106))</f>
        <v/>
      </c>
      <c r="G106" s="16" t="str">
        <f aca="false">IF(A106="","",IFERROR(INDEX(Productos!$K$2:$K$1001,MATCH(A106,Productos!$A$2:$A$1001,0)),""))</f>
        <v/>
      </c>
      <c r="H106" s="16" t="str">
        <f aca="false">IF(OR(A106="",G106=""),"",F106*G106)</f>
        <v/>
      </c>
    </row>
    <row r="107" customFormat="false" ht="15" hidden="false" customHeight="false" outlineLevel="0" collapsed="false">
      <c r="A107" s="11"/>
      <c r="B107" s="12" t="str">
        <f aca="false">IF(A107="","",IFERROR(INDEX(Productos!$D$2:$D$1001,MATCH(A107,Productos!$A$2:$A$1001,0))&amp;" — "&amp;INDEX(Productos!$E$2:$E$1001,MATCH(A107,Productos!$A$2:$A$1001,0)),"SKU no existe en Productos"))</f>
        <v/>
      </c>
      <c r="C107" s="11"/>
      <c r="D107" s="11"/>
      <c r="E107" s="11"/>
      <c r="F107" s="12" t="str">
        <f aca="false">IF(A107="","",SUM(C107:E107))</f>
        <v/>
      </c>
      <c r="G107" s="16" t="str">
        <f aca="false">IF(A107="","",IFERROR(INDEX(Productos!$K$2:$K$1001,MATCH(A107,Productos!$A$2:$A$1001,0)),""))</f>
        <v/>
      </c>
      <c r="H107" s="16" t="str">
        <f aca="false">IF(OR(A107="",G107=""),"",F107*G107)</f>
        <v/>
      </c>
    </row>
    <row r="108" customFormat="false" ht="15" hidden="false" customHeight="false" outlineLevel="0" collapsed="false">
      <c r="A108" s="11"/>
      <c r="B108" s="12" t="str">
        <f aca="false">IF(A108="","",IFERROR(INDEX(Productos!$D$2:$D$1001,MATCH(A108,Productos!$A$2:$A$1001,0))&amp;" — "&amp;INDEX(Productos!$E$2:$E$1001,MATCH(A108,Productos!$A$2:$A$1001,0)),"SKU no existe en Productos"))</f>
        <v/>
      </c>
      <c r="C108" s="11"/>
      <c r="D108" s="11"/>
      <c r="E108" s="11"/>
      <c r="F108" s="12" t="str">
        <f aca="false">IF(A108="","",SUM(C108:E108))</f>
        <v/>
      </c>
      <c r="G108" s="16" t="str">
        <f aca="false">IF(A108="","",IFERROR(INDEX(Productos!$K$2:$K$1001,MATCH(A108,Productos!$A$2:$A$1001,0)),""))</f>
        <v/>
      </c>
      <c r="H108" s="16" t="str">
        <f aca="false">IF(OR(A108="",G108=""),"",F108*G108)</f>
        <v/>
      </c>
    </row>
    <row r="109" customFormat="false" ht="15" hidden="false" customHeight="false" outlineLevel="0" collapsed="false">
      <c r="A109" s="11"/>
      <c r="B109" s="12" t="str">
        <f aca="false">IF(A109="","",IFERROR(INDEX(Productos!$D$2:$D$1001,MATCH(A109,Productos!$A$2:$A$1001,0))&amp;" — "&amp;INDEX(Productos!$E$2:$E$1001,MATCH(A109,Productos!$A$2:$A$1001,0)),"SKU no existe en Productos"))</f>
        <v/>
      </c>
      <c r="C109" s="11"/>
      <c r="D109" s="11"/>
      <c r="E109" s="11"/>
      <c r="F109" s="12" t="str">
        <f aca="false">IF(A109="","",SUM(C109:E109))</f>
        <v/>
      </c>
      <c r="G109" s="16" t="str">
        <f aca="false">IF(A109="","",IFERROR(INDEX(Productos!$K$2:$K$1001,MATCH(A109,Productos!$A$2:$A$1001,0)),""))</f>
        <v/>
      </c>
      <c r="H109" s="16" t="str">
        <f aca="false">IF(OR(A109="",G109=""),"",F109*G109)</f>
        <v/>
      </c>
    </row>
    <row r="110" customFormat="false" ht="15" hidden="false" customHeight="false" outlineLevel="0" collapsed="false">
      <c r="A110" s="11"/>
      <c r="B110" s="12" t="str">
        <f aca="false">IF(A110="","",IFERROR(INDEX(Productos!$D$2:$D$1001,MATCH(A110,Productos!$A$2:$A$1001,0))&amp;" — "&amp;INDEX(Productos!$E$2:$E$1001,MATCH(A110,Productos!$A$2:$A$1001,0)),"SKU no existe en Productos"))</f>
        <v/>
      </c>
      <c r="C110" s="11"/>
      <c r="D110" s="11"/>
      <c r="E110" s="11"/>
      <c r="F110" s="12" t="str">
        <f aca="false">IF(A110="","",SUM(C110:E110))</f>
        <v/>
      </c>
      <c r="G110" s="16" t="str">
        <f aca="false">IF(A110="","",IFERROR(INDEX(Productos!$K$2:$K$1001,MATCH(A110,Productos!$A$2:$A$1001,0)),""))</f>
        <v/>
      </c>
      <c r="H110" s="16" t="str">
        <f aca="false">IF(OR(A110="",G110=""),"",F110*G110)</f>
        <v/>
      </c>
    </row>
    <row r="111" customFormat="false" ht="15" hidden="false" customHeight="false" outlineLevel="0" collapsed="false">
      <c r="A111" s="11"/>
      <c r="B111" s="12" t="str">
        <f aca="false">IF(A111="","",IFERROR(INDEX(Productos!$D$2:$D$1001,MATCH(A111,Productos!$A$2:$A$1001,0))&amp;" — "&amp;INDEX(Productos!$E$2:$E$1001,MATCH(A111,Productos!$A$2:$A$1001,0)),"SKU no existe en Productos"))</f>
        <v/>
      </c>
      <c r="C111" s="11"/>
      <c r="D111" s="11"/>
      <c r="E111" s="11"/>
      <c r="F111" s="12" t="str">
        <f aca="false">IF(A111="","",SUM(C111:E111))</f>
        <v/>
      </c>
      <c r="G111" s="16" t="str">
        <f aca="false">IF(A111="","",IFERROR(INDEX(Productos!$K$2:$K$1001,MATCH(A111,Productos!$A$2:$A$1001,0)),""))</f>
        <v/>
      </c>
      <c r="H111" s="16" t="str">
        <f aca="false">IF(OR(A111="",G111=""),"",F111*G111)</f>
        <v/>
      </c>
    </row>
    <row r="112" customFormat="false" ht="15" hidden="false" customHeight="false" outlineLevel="0" collapsed="false">
      <c r="A112" s="11"/>
      <c r="B112" s="12" t="str">
        <f aca="false">IF(A112="","",IFERROR(INDEX(Productos!$D$2:$D$1001,MATCH(A112,Productos!$A$2:$A$1001,0))&amp;" — "&amp;INDEX(Productos!$E$2:$E$1001,MATCH(A112,Productos!$A$2:$A$1001,0)),"SKU no existe en Productos"))</f>
        <v/>
      </c>
      <c r="C112" s="11"/>
      <c r="D112" s="11"/>
      <c r="E112" s="11"/>
      <c r="F112" s="12" t="str">
        <f aca="false">IF(A112="","",SUM(C112:E112))</f>
        <v/>
      </c>
      <c r="G112" s="16" t="str">
        <f aca="false">IF(A112="","",IFERROR(INDEX(Productos!$K$2:$K$1001,MATCH(A112,Productos!$A$2:$A$1001,0)),""))</f>
        <v/>
      </c>
      <c r="H112" s="16" t="str">
        <f aca="false">IF(OR(A112="",G112=""),"",F112*G112)</f>
        <v/>
      </c>
    </row>
    <row r="113" customFormat="false" ht="15" hidden="false" customHeight="false" outlineLevel="0" collapsed="false">
      <c r="A113" s="11"/>
      <c r="B113" s="12" t="str">
        <f aca="false">IF(A113="","",IFERROR(INDEX(Productos!$D$2:$D$1001,MATCH(A113,Productos!$A$2:$A$1001,0))&amp;" — "&amp;INDEX(Productos!$E$2:$E$1001,MATCH(A113,Productos!$A$2:$A$1001,0)),"SKU no existe en Productos"))</f>
        <v/>
      </c>
      <c r="C113" s="11"/>
      <c r="D113" s="11"/>
      <c r="E113" s="11"/>
      <c r="F113" s="12" t="str">
        <f aca="false">IF(A113="","",SUM(C113:E113))</f>
        <v/>
      </c>
      <c r="G113" s="16" t="str">
        <f aca="false">IF(A113="","",IFERROR(INDEX(Productos!$K$2:$K$1001,MATCH(A113,Productos!$A$2:$A$1001,0)),""))</f>
        <v/>
      </c>
      <c r="H113" s="16" t="str">
        <f aca="false">IF(OR(A113="",G113=""),"",F113*G113)</f>
        <v/>
      </c>
    </row>
    <row r="114" customFormat="false" ht="15" hidden="false" customHeight="false" outlineLevel="0" collapsed="false">
      <c r="A114" s="11"/>
      <c r="B114" s="12" t="str">
        <f aca="false">IF(A114="","",IFERROR(INDEX(Productos!$D$2:$D$1001,MATCH(A114,Productos!$A$2:$A$1001,0))&amp;" — "&amp;INDEX(Productos!$E$2:$E$1001,MATCH(A114,Productos!$A$2:$A$1001,0)),"SKU no existe en Productos"))</f>
        <v/>
      </c>
      <c r="C114" s="11"/>
      <c r="D114" s="11"/>
      <c r="E114" s="11"/>
      <c r="F114" s="12" t="str">
        <f aca="false">IF(A114="","",SUM(C114:E114))</f>
        <v/>
      </c>
      <c r="G114" s="16" t="str">
        <f aca="false">IF(A114="","",IFERROR(INDEX(Productos!$K$2:$K$1001,MATCH(A114,Productos!$A$2:$A$1001,0)),""))</f>
        <v/>
      </c>
      <c r="H114" s="16" t="str">
        <f aca="false">IF(OR(A114="",G114=""),"",F114*G114)</f>
        <v/>
      </c>
    </row>
    <row r="115" customFormat="false" ht="15" hidden="false" customHeight="false" outlineLevel="0" collapsed="false">
      <c r="A115" s="11"/>
      <c r="B115" s="12" t="str">
        <f aca="false">IF(A115="","",IFERROR(INDEX(Productos!$D$2:$D$1001,MATCH(A115,Productos!$A$2:$A$1001,0))&amp;" — "&amp;INDEX(Productos!$E$2:$E$1001,MATCH(A115,Productos!$A$2:$A$1001,0)),"SKU no existe en Productos"))</f>
        <v/>
      </c>
      <c r="C115" s="11"/>
      <c r="D115" s="11"/>
      <c r="E115" s="11"/>
      <c r="F115" s="12" t="str">
        <f aca="false">IF(A115="","",SUM(C115:E115))</f>
        <v/>
      </c>
      <c r="G115" s="16" t="str">
        <f aca="false">IF(A115="","",IFERROR(INDEX(Productos!$K$2:$K$1001,MATCH(A115,Productos!$A$2:$A$1001,0)),""))</f>
        <v/>
      </c>
      <c r="H115" s="16" t="str">
        <f aca="false">IF(OR(A115="",G115=""),"",F115*G115)</f>
        <v/>
      </c>
    </row>
    <row r="116" customFormat="false" ht="15" hidden="false" customHeight="false" outlineLevel="0" collapsed="false">
      <c r="A116" s="11"/>
      <c r="B116" s="12" t="str">
        <f aca="false">IF(A116="","",IFERROR(INDEX(Productos!$D$2:$D$1001,MATCH(A116,Productos!$A$2:$A$1001,0))&amp;" — "&amp;INDEX(Productos!$E$2:$E$1001,MATCH(A116,Productos!$A$2:$A$1001,0)),"SKU no existe en Productos"))</f>
        <v/>
      </c>
      <c r="C116" s="11"/>
      <c r="D116" s="11"/>
      <c r="E116" s="11"/>
      <c r="F116" s="12" t="str">
        <f aca="false">IF(A116="","",SUM(C116:E116))</f>
        <v/>
      </c>
      <c r="G116" s="16" t="str">
        <f aca="false">IF(A116="","",IFERROR(INDEX(Productos!$K$2:$K$1001,MATCH(A116,Productos!$A$2:$A$1001,0)),""))</f>
        <v/>
      </c>
      <c r="H116" s="16" t="str">
        <f aca="false">IF(OR(A116="",G116=""),"",F116*G116)</f>
        <v/>
      </c>
    </row>
    <row r="117" customFormat="false" ht="15" hidden="false" customHeight="false" outlineLevel="0" collapsed="false">
      <c r="A117" s="11"/>
      <c r="B117" s="12" t="str">
        <f aca="false">IF(A117="","",IFERROR(INDEX(Productos!$D$2:$D$1001,MATCH(A117,Productos!$A$2:$A$1001,0))&amp;" — "&amp;INDEX(Productos!$E$2:$E$1001,MATCH(A117,Productos!$A$2:$A$1001,0)),"SKU no existe en Productos"))</f>
        <v/>
      </c>
      <c r="C117" s="11"/>
      <c r="D117" s="11"/>
      <c r="E117" s="11"/>
      <c r="F117" s="12" t="str">
        <f aca="false">IF(A117="","",SUM(C117:E117))</f>
        <v/>
      </c>
      <c r="G117" s="16" t="str">
        <f aca="false">IF(A117="","",IFERROR(INDEX(Productos!$K$2:$K$1001,MATCH(A117,Productos!$A$2:$A$1001,0)),""))</f>
        <v/>
      </c>
      <c r="H117" s="16" t="str">
        <f aca="false">IF(OR(A117="",G117=""),"",F117*G117)</f>
        <v/>
      </c>
    </row>
    <row r="118" customFormat="false" ht="15" hidden="false" customHeight="false" outlineLevel="0" collapsed="false">
      <c r="A118" s="11"/>
      <c r="B118" s="12" t="str">
        <f aca="false">IF(A118="","",IFERROR(INDEX(Productos!$D$2:$D$1001,MATCH(A118,Productos!$A$2:$A$1001,0))&amp;" — "&amp;INDEX(Productos!$E$2:$E$1001,MATCH(A118,Productos!$A$2:$A$1001,0)),"SKU no existe en Productos"))</f>
        <v/>
      </c>
      <c r="C118" s="11"/>
      <c r="D118" s="11"/>
      <c r="E118" s="11"/>
      <c r="F118" s="12" t="str">
        <f aca="false">IF(A118="","",SUM(C118:E118))</f>
        <v/>
      </c>
      <c r="G118" s="16" t="str">
        <f aca="false">IF(A118="","",IFERROR(INDEX(Productos!$K$2:$K$1001,MATCH(A118,Productos!$A$2:$A$1001,0)),""))</f>
        <v/>
      </c>
      <c r="H118" s="16" t="str">
        <f aca="false">IF(OR(A118="",G118=""),"",F118*G118)</f>
        <v/>
      </c>
    </row>
    <row r="119" customFormat="false" ht="15" hidden="false" customHeight="false" outlineLevel="0" collapsed="false">
      <c r="A119" s="11"/>
      <c r="B119" s="12" t="str">
        <f aca="false">IF(A119="","",IFERROR(INDEX(Productos!$D$2:$D$1001,MATCH(A119,Productos!$A$2:$A$1001,0))&amp;" — "&amp;INDEX(Productos!$E$2:$E$1001,MATCH(A119,Productos!$A$2:$A$1001,0)),"SKU no existe en Productos"))</f>
        <v/>
      </c>
      <c r="C119" s="11"/>
      <c r="D119" s="11"/>
      <c r="E119" s="11"/>
      <c r="F119" s="12" t="str">
        <f aca="false">IF(A119="","",SUM(C119:E119))</f>
        <v/>
      </c>
      <c r="G119" s="16" t="str">
        <f aca="false">IF(A119="","",IFERROR(INDEX(Productos!$K$2:$K$1001,MATCH(A119,Productos!$A$2:$A$1001,0)),""))</f>
        <v/>
      </c>
      <c r="H119" s="16" t="str">
        <f aca="false">IF(OR(A119="",G119=""),"",F119*G119)</f>
        <v/>
      </c>
    </row>
    <row r="120" customFormat="false" ht="15" hidden="false" customHeight="false" outlineLevel="0" collapsed="false">
      <c r="A120" s="11"/>
      <c r="B120" s="12" t="str">
        <f aca="false">IF(A120="","",IFERROR(INDEX(Productos!$D$2:$D$1001,MATCH(A120,Productos!$A$2:$A$1001,0))&amp;" — "&amp;INDEX(Productos!$E$2:$E$1001,MATCH(A120,Productos!$A$2:$A$1001,0)),"SKU no existe en Productos"))</f>
        <v/>
      </c>
      <c r="C120" s="11"/>
      <c r="D120" s="11"/>
      <c r="E120" s="11"/>
      <c r="F120" s="12" t="str">
        <f aca="false">IF(A120="","",SUM(C120:E120))</f>
        <v/>
      </c>
      <c r="G120" s="16" t="str">
        <f aca="false">IF(A120="","",IFERROR(INDEX(Productos!$K$2:$K$1001,MATCH(A120,Productos!$A$2:$A$1001,0)),""))</f>
        <v/>
      </c>
      <c r="H120" s="16" t="str">
        <f aca="false">IF(OR(A120="",G120=""),"",F120*G120)</f>
        <v/>
      </c>
    </row>
    <row r="121" customFormat="false" ht="15" hidden="false" customHeight="false" outlineLevel="0" collapsed="false">
      <c r="A121" s="11"/>
      <c r="B121" s="12" t="str">
        <f aca="false">IF(A121="","",IFERROR(INDEX(Productos!$D$2:$D$1001,MATCH(A121,Productos!$A$2:$A$1001,0))&amp;" — "&amp;INDEX(Productos!$E$2:$E$1001,MATCH(A121,Productos!$A$2:$A$1001,0)),"SKU no existe en Productos"))</f>
        <v/>
      </c>
      <c r="C121" s="11"/>
      <c r="D121" s="11"/>
      <c r="E121" s="11"/>
      <c r="F121" s="12" t="str">
        <f aca="false">IF(A121="","",SUM(C121:E121))</f>
        <v/>
      </c>
      <c r="G121" s="16" t="str">
        <f aca="false">IF(A121="","",IFERROR(INDEX(Productos!$K$2:$K$1001,MATCH(A121,Productos!$A$2:$A$1001,0)),""))</f>
        <v/>
      </c>
      <c r="H121" s="16" t="str">
        <f aca="false">IF(OR(A121="",G121=""),"",F121*G121)</f>
        <v/>
      </c>
    </row>
    <row r="122" customFormat="false" ht="15" hidden="false" customHeight="false" outlineLevel="0" collapsed="false">
      <c r="A122" s="11"/>
      <c r="B122" s="12" t="str">
        <f aca="false">IF(A122="","",IFERROR(INDEX(Productos!$D$2:$D$1001,MATCH(A122,Productos!$A$2:$A$1001,0))&amp;" — "&amp;INDEX(Productos!$E$2:$E$1001,MATCH(A122,Productos!$A$2:$A$1001,0)),"SKU no existe en Productos"))</f>
        <v/>
      </c>
      <c r="C122" s="11"/>
      <c r="D122" s="11"/>
      <c r="E122" s="11"/>
      <c r="F122" s="12" t="str">
        <f aca="false">IF(A122="","",SUM(C122:E122))</f>
        <v/>
      </c>
      <c r="G122" s="16" t="str">
        <f aca="false">IF(A122="","",IFERROR(INDEX(Productos!$K$2:$K$1001,MATCH(A122,Productos!$A$2:$A$1001,0)),""))</f>
        <v/>
      </c>
      <c r="H122" s="16" t="str">
        <f aca="false">IF(OR(A122="",G122=""),"",F122*G122)</f>
        <v/>
      </c>
    </row>
    <row r="123" customFormat="false" ht="15" hidden="false" customHeight="false" outlineLevel="0" collapsed="false">
      <c r="A123" s="11"/>
      <c r="B123" s="12" t="str">
        <f aca="false">IF(A123="","",IFERROR(INDEX(Productos!$D$2:$D$1001,MATCH(A123,Productos!$A$2:$A$1001,0))&amp;" — "&amp;INDEX(Productos!$E$2:$E$1001,MATCH(A123,Productos!$A$2:$A$1001,0)),"SKU no existe en Productos"))</f>
        <v/>
      </c>
      <c r="C123" s="11"/>
      <c r="D123" s="11"/>
      <c r="E123" s="11"/>
      <c r="F123" s="12" t="str">
        <f aca="false">IF(A123="","",SUM(C123:E123))</f>
        <v/>
      </c>
      <c r="G123" s="16" t="str">
        <f aca="false">IF(A123="","",IFERROR(INDEX(Productos!$K$2:$K$1001,MATCH(A123,Productos!$A$2:$A$1001,0)),""))</f>
        <v/>
      </c>
      <c r="H123" s="16" t="str">
        <f aca="false">IF(OR(A123="",G123=""),"",F123*G123)</f>
        <v/>
      </c>
    </row>
    <row r="124" customFormat="false" ht="15" hidden="false" customHeight="false" outlineLevel="0" collapsed="false">
      <c r="A124" s="11"/>
      <c r="B124" s="12" t="str">
        <f aca="false">IF(A124="","",IFERROR(INDEX(Productos!$D$2:$D$1001,MATCH(A124,Productos!$A$2:$A$1001,0))&amp;" — "&amp;INDEX(Productos!$E$2:$E$1001,MATCH(A124,Productos!$A$2:$A$1001,0)),"SKU no existe en Productos"))</f>
        <v/>
      </c>
      <c r="C124" s="11"/>
      <c r="D124" s="11"/>
      <c r="E124" s="11"/>
      <c r="F124" s="12" t="str">
        <f aca="false">IF(A124="","",SUM(C124:E124))</f>
        <v/>
      </c>
      <c r="G124" s="16" t="str">
        <f aca="false">IF(A124="","",IFERROR(INDEX(Productos!$K$2:$K$1001,MATCH(A124,Productos!$A$2:$A$1001,0)),""))</f>
        <v/>
      </c>
      <c r="H124" s="16" t="str">
        <f aca="false">IF(OR(A124="",G124=""),"",F124*G124)</f>
        <v/>
      </c>
    </row>
    <row r="125" customFormat="false" ht="15" hidden="false" customHeight="false" outlineLevel="0" collapsed="false">
      <c r="A125" s="11"/>
      <c r="B125" s="12" t="str">
        <f aca="false">IF(A125="","",IFERROR(INDEX(Productos!$D$2:$D$1001,MATCH(A125,Productos!$A$2:$A$1001,0))&amp;" — "&amp;INDEX(Productos!$E$2:$E$1001,MATCH(A125,Productos!$A$2:$A$1001,0)),"SKU no existe en Productos"))</f>
        <v/>
      </c>
      <c r="C125" s="11"/>
      <c r="D125" s="11"/>
      <c r="E125" s="11"/>
      <c r="F125" s="12" t="str">
        <f aca="false">IF(A125="","",SUM(C125:E125))</f>
        <v/>
      </c>
      <c r="G125" s="16" t="str">
        <f aca="false">IF(A125="","",IFERROR(INDEX(Productos!$K$2:$K$1001,MATCH(A125,Productos!$A$2:$A$1001,0)),""))</f>
        <v/>
      </c>
      <c r="H125" s="16" t="str">
        <f aca="false">IF(OR(A125="",G125=""),"",F125*G125)</f>
        <v/>
      </c>
    </row>
    <row r="126" customFormat="false" ht="15" hidden="false" customHeight="false" outlineLevel="0" collapsed="false">
      <c r="A126" s="11"/>
      <c r="B126" s="12" t="str">
        <f aca="false">IF(A126="","",IFERROR(INDEX(Productos!$D$2:$D$1001,MATCH(A126,Productos!$A$2:$A$1001,0))&amp;" — "&amp;INDEX(Productos!$E$2:$E$1001,MATCH(A126,Productos!$A$2:$A$1001,0)),"SKU no existe en Productos"))</f>
        <v/>
      </c>
      <c r="C126" s="11"/>
      <c r="D126" s="11"/>
      <c r="E126" s="11"/>
      <c r="F126" s="12" t="str">
        <f aca="false">IF(A126="","",SUM(C126:E126))</f>
        <v/>
      </c>
      <c r="G126" s="16" t="str">
        <f aca="false">IF(A126="","",IFERROR(INDEX(Productos!$K$2:$K$1001,MATCH(A126,Productos!$A$2:$A$1001,0)),""))</f>
        <v/>
      </c>
      <c r="H126" s="16" t="str">
        <f aca="false">IF(OR(A126="",G126=""),"",F126*G126)</f>
        <v/>
      </c>
    </row>
    <row r="127" customFormat="false" ht="15" hidden="false" customHeight="false" outlineLevel="0" collapsed="false">
      <c r="A127" s="11"/>
      <c r="B127" s="12" t="str">
        <f aca="false">IF(A127="","",IFERROR(INDEX(Productos!$D$2:$D$1001,MATCH(A127,Productos!$A$2:$A$1001,0))&amp;" — "&amp;INDEX(Productos!$E$2:$E$1001,MATCH(A127,Productos!$A$2:$A$1001,0)),"SKU no existe en Productos"))</f>
        <v/>
      </c>
      <c r="C127" s="11"/>
      <c r="D127" s="11"/>
      <c r="E127" s="11"/>
      <c r="F127" s="12" t="str">
        <f aca="false">IF(A127="","",SUM(C127:E127))</f>
        <v/>
      </c>
      <c r="G127" s="16" t="str">
        <f aca="false">IF(A127="","",IFERROR(INDEX(Productos!$K$2:$K$1001,MATCH(A127,Productos!$A$2:$A$1001,0)),""))</f>
        <v/>
      </c>
      <c r="H127" s="16" t="str">
        <f aca="false">IF(OR(A127="",G127=""),"",F127*G127)</f>
        <v/>
      </c>
    </row>
    <row r="128" customFormat="false" ht="15" hidden="false" customHeight="false" outlineLevel="0" collapsed="false">
      <c r="A128" s="11"/>
      <c r="B128" s="12" t="str">
        <f aca="false">IF(A128="","",IFERROR(INDEX(Productos!$D$2:$D$1001,MATCH(A128,Productos!$A$2:$A$1001,0))&amp;" — "&amp;INDEX(Productos!$E$2:$E$1001,MATCH(A128,Productos!$A$2:$A$1001,0)),"SKU no existe en Productos"))</f>
        <v/>
      </c>
      <c r="C128" s="11"/>
      <c r="D128" s="11"/>
      <c r="E128" s="11"/>
      <c r="F128" s="12" t="str">
        <f aca="false">IF(A128="","",SUM(C128:E128))</f>
        <v/>
      </c>
      <c r="G128" s="16" t="str">
        <f aca="false">IF(A128="","",IFERROR(INDEX(Productos!$K$2:$K$1001,MATCH(A128,Productos!$A$2:$A$1001,0)),""))</f>
        <v/>
      </c>
      <c r="H128" s="16" t="str">
        <f aca="false">IF(OR(A128="",G128=""),"",F128*G128)</f>
        <v/>
      </c>
    </row>
    <row r="129" customFormat="false" ht="15" hidden="false" customHeight="false" outlineLevel="0" collapsed="false">
      <c r="A129" s="11"/>
      <c r="B129" s="12" t="str">
        <f aca="false">IF(A129="","",IFERROR(INDEX(Productos!$D$2:$D$1001,MATCH(A129,Productos!$A$2:$A$1001,0))&amp;" — "&amp;INDEX(Productos!$E$2:$E$1001,MATCH(A129,Productos!$A$2:$A$1001,0)),"SKU no existe en Productos"))</f>
        <v/>
      </c>
      <c r="C129" s="11"/>
      <c r="D129" s="11"/>
      <c r="E129" s="11"/>
      <c r="F129" s="12" t="str">
        <f aca="false">IF(A129="","",SUM(C129:E129))</f>
        <v/>
      </c>
      <c r="G129" s="16" t="str">
        <f aca="false">IF(A129="","",IFERROR(INDEX(Productos!$K$2:$K$1001,MATCH(A129,Productos!$A$2:$A$1001,0)),""))</f>
        <v/>
      </c>
      <c r="H129" s="16" t="str">
        <f aca="false">IF(OR(A129="",G129=""),"",F129*G129)</f>
        <v/>
      </c>
    </row>
    <row r="130" customFormat="false" ht="15" hidden="false" customHeight="false" outlineLevel="0" collapsed="false">
      <c r="A130" s="11"/>
      <c r="B130" s="12" t="str">
        <f aca="false">IF(A130="","",IFERROR(INDEX(Productos!$D$2:$D$1001,MATCH(A130,Productos!$A$2:$A$1001,0))&amp;" — "&amp;INDEX(Productos!$E$2:$E$1001,MATCH(A130,Productos!$A$2:$A$1001,0)),"SKU no existe en Productos"))</f>
        <v/>
      </c>
      <c r="C130" s="11"/>
      <c r="D130" s="11"/>
      <c r="E130" s="11"/>
      <c r="F130" s="12" t="str">
        <f aca="false">IF(A130="","",SUM(C130:E130))</f>
        <v/>
      </c>
      <c r="G130" s="16" t="str">
        <f aca="false">IF(A130="","",IFERROR(INDEX(Productos!$K$2:$K$1001,MATCH(A130,Productos!$A$2:$A$1001,0)),""))</f>
        <v/>
      </c>
      <c r="H130" s="16" t="str">
        <f aca="false">IF(OR(A130="",G130=""),"",F130*G130)</f>
        <v/>
      </c>
    </row>
    <row r="131" customFormat="false" ht="15" hidden="false" customHeight="false" outlineLevel="0" collapsed="false">
      <c r="A131" s="11"/>
      <c r="B131" s="12" t="str">
        <f aca="false">IF(A131="","",IFERROR(INDEX(Productos!$D$2:$D$1001,MATCH(A131,Productos!$A$2:$A$1001,0))&amp;" — "&amp;INDEX(Productos!$E$2:$E$1001,MATCH(A131,Productos!$A$2:$A$1001,0)),"SKU no existe en Productos"))</f>
        <v/>
      </c>
      <c r="C131" s="11"/>
      <c r="D131" s="11"/>
      <c r="E131" s="11"/>
      <c r="F131" s="12" t="str">
        <f aca="false">IF(A131="","",SUM(C131:E131))</f>
        <v/>
      </c>
      <c r="G131" s="16" t="str">
        <f aca="false">IF(A131="","",IFERROR(INDEX(Productos!$K$2:$K$1001,MATCH(A131,Productos!$A$2:$A$1001,0)),""))</f>
        <v/>
      </c>
      <c r="H131" s="16" t="str">
        <f aca="false">IF(OR(A131="",G131=""),"",F131*G131)</f>
        <v/>
      </c>
    </row>
    <row r="132" customFormat="false" ht="15" hidden="false" customHeight="false" outlineLevel="0" collapsed="false">
      <c r="A132" s="11"/>
      <c r="B132" s="12" t="str">
        <f aca="false">IF(A132="","",IFERROR(INDEX(Productos!$D$2:$D$1001,MATCH(A132,Productos!$A$2:$A$1001,0))&amp;" — "&amp;INDEX(Productos!$E$2:$E$1001,MATCH(A132,Productos!$A$2:$A$1001,0)),"SKU no existe en Productos"))</f>
        <v/>
      </c>
      <c r="C132" s="11"/>
      <c r="D132" s="11"/>
      <c r="E132" s="11"/>
      <c r="F132" s="12" t="str">
        <f aca="false">IF(A132="","",SUM(C132:E132))</f>
        <v/>
      </c>
      <c r="G132" s="16" t="str">
        <f aca="false">IF(A132="","",IFERROR(INDEX(Productos!$K$2:$K$1001,MATCH(A132,Productos!$A$2:$A$1001,0)),""))</f>
        <v/>
      </c>
      <c r="H132" s="16" t="str">
        <f aca="false">IF(OR(A132="",G132=""),"",F132*G132)</f>
        <v/>
      </c>
    </row>
    <row r="133" customFormat="false" ht="15" hidden="false" customHeight="false" outlineLevel="0" collapsed="false">
      <c r="A133" s="11"/>
      <c r="B133" s="12" t="str">
        <f aca="false">IF(A133="","",IFERROR(INDEX(Productos!$D$2:$D$1001,MATCH(A133,Productos!$A$2:$A$1001,0))&amp;" — "&amp;INDEX(Productos!$E$2:$E$1001,MATCH(A133,Productos!$A$2:$A$1001,0)),"SKU no existe en Productos"))</f>
        <v/>
      </c>
      <c r="C133" s="11"/>
      <c r="D133" s="11"/>
      <c r="E133" s="11"/>
      <c r="F133" s="12" t="str">
        <f aca="false">IF(A133="","",SUM(C133:E133))</f>
        <v/>
      </c>
      <c r="G133" s="16" t="str">
        <f aca="false">IF(A133="","",IFERROR(INDEX(Productos!$K$2:$K$1001,MATCH(A133,Productos!$A$2:$A$1001,0)),""))</f>
        <v/>
      </c>
      <c r="H133" s="16" t="str">
        <f aca="false">IF(OR(A133="",G133=""),"",F133*G133)</f>
        <v/>
      </c>
    </row>
    <row r="134" customFormat="false" ht="15" hidden="false" customHeight="false" outlineLevel="0" collapsed="false">
      <c r="A134" s="11"/>
      <c r="B134" s="12" t="str">
        <f aca="false">IF(A134="","",IFERROR(INDEX(Productos!$D$2:$D$1001,MATCH(A134,Productos!$A$2:$A$1001,0))&amp;" — "&amp;INDEX(Productos!$E$2:$E$1001,MATCH(A134,Productos!$A$2:$A$1001,0)),"SKU no existe en Productos"))</f>
        <v/>
      </c>
      <c r="C134" s="11"/>
      <c r="D134" s="11"/>
      <c r="E134" s="11"/>
      <c r="F134" s="12" t="str">
        <f aca="false">IF(A134="","",SUM(C134:E134))</f>
        <v/>
      </c>
      <c r="G134" s="16" t="str">
        <f aca="false">IF(A134="","",IFERROR(INDEX(Productos!$K$2:$K$1001,MATCH(A134,Productos!$A$2:$A$1001,0)),""))</f>
        <v/>
      </c>
      <c r="H134" s="16" t="str">
        <f aca="false">IF(OR(A134="",G134=""),"",F134*G134)</f>
        <v/>
      </c>
    </row>
    <row r="135" customFormat="false" ht="15" hidden="false" customHeight="false" outlineLevel="0" collapsed="false">
      <c r="A135" s="11"/>
      <c r="B135" s="12" t="str">
        <f aca="false">IF(A135="","",IFERROR(INDEX(Productos!$D$2:$D$1001,MATCH(A135,Productos!$A$2:$A$1001,0))&amp;" — "&amp;INDEX(Productos!$E$2:$E$1001,MATCH(A135,Productos!$A$2:$A$1001,0)),"SKU no existe en Productos"))</f>
        <v/>
      </c>
      <c r="C135" s="11"/>
      <c r="D135" s="11"/>
      <c r="E135" s="11"/>
      <c r="F135" s="12" t="str">
        <f aca="false">IF(A135="","",SUM(C135:E135))</f>
        <v/>
      </c>
      <c r="G135" s="16" t="str">
        <f aca="false">IF(A135="","",IFERROR(INDEX(Productos!$K$2:$K$1001,MATCH(A135,Productos!$A$2:$A$1001,0)),""))</f>
        <v/>
      </c>
      <c r="H135" s="16" t="str">
        <f aca="false">IF(OR(A135="",G135=""),"",F135*G135)</f>
        <v/>
      </c>
    </row>
    <row r="136" customFormat="false" ht="15" hidden="false" customHeight="false" outlineLevel="0" collapsed="false">
      <c r="A136" s="11"/>
      <c r="B136" s="12" t="str">
        <f aca="false">IF(A136="","",IFERROR(INDEX(Productos!$D$2:$D$1001,MATCH(A136,Productos!$A$2:$A$1001,0))&amp;" — "&amp;INDEX(Productos!$E$2:$E$1001,MATCH(A136,Productos!$A$2:$A$1001,0)),"SKU no existe en Productos"))</f>
        <v/>
      </c>
      <c r="C136" s="11"/>
      <c r="D136" s="11"/>
      <c r="E136" s="11"/>
      <c r="F136" s="12" t="str">
        <f aca="false">IF(A136="","",SUM(C136:E136))</f>
        <v/>
      </c>
      <c r="G136" s="16" t="str">
        <f aca="false">IF(A136="","",IFERROR(INDEX(Productos!$K$2:$K$1001,MATCH(A136,Productos!$A$2:$A$1001,0)),""))</f>
        <v/>
      </c>
      <c r="H136" s="16" t="str">
        <f aca="false">IF(OR(A136="",G136=""),"",F136*G136)</f>
        <v/>
      </c>
    </row>
    <row r="137" customFormat="false" ht="15" hidden="false" customHeight="false" outlineLevel="0" collapsed="false">
      <c r="A137" s="11"/>
      <c r="B137" s="12" t="str">
        <f aca="false">IF(A137="","",IFERROR(INDEX(Productos!$D$2:$D$1001,MATCH(A137,Productos!$A$2:$A$1001,0))&amp;" — "&amp;INDEX(Productos!$E$2:$E$1001,MATCH(A137,Productos!$A$2:$A$1001,0)),"SKU no existe en Productos"))</f>
        <v/>
      </c>
      <c r="C137" s="11"/>
      <c r="D137" s="11"/>
      <c r="E137" s="11"/>
      <c r="F137" s="12" t="str">
        <f aca="false">IF(A137="","",SUM(C137:E137))</f>
        <v/>
      </c>
      <c r="G137" s="16" t="str">
        <f aca="false">IF(A137="","",IFERROR(INDEX(Productos!$K$2:$K$1001,MATCH(A137,Productos!$A$2:$A$1001,0)),""))</f>
        <v/>
      </c>
      <c r="H137" s="16" t="str">
        <f aca="false">IF(OR(A137="",G137=""),"",F137*G137)</f>
        <v/>
      </c>
    </row>
    <row r="138" customFormat="false" ht="15" hidden="false" customHeight="false" outlineLevel="0" collapsed="false">
      <c r="A138" s="11"/>
      <c r="B138" s="12" t="str">
        <f aca="false">IF(A138="","",IFERROR(INDEX(Productos!$D$2:$D$1001,MATCH(A138,Productos!$A$2:$A$1001,0))&amp;" — "&amp;INDEX(Productos!$E$2:$E$1001,MATCH(A138,Productos!$A$2:$A$1001,0)),"SKU no existe en Productos"))</f>
        <v/>
      </c>
      <c r="C138" s="11"/>
      <c r="D138" s="11"/>
      <c r="E138" s="11"/>
      <c r="F138" s="12" t="str">
        <f aca="false">IF(A138="","",SUM(C138:E138))</f>
        <v/>
      </c>
      <c r="G138" s="16" t="str">
        <f aca="false">IF(A138="","",IFERROR(INDEX(Productos!$K$2:$K$1001,MATCH(A138,Productos!$A$2:$A$1001,0)),""))</f>
        <v/>
      </c>
      <c r="H138" s="16" t="str">
        <f aca="false">IF(OR(A138="",G138=""),"",F138*G138)</f>
        <v/>
      </c>
    </row>
    <row r="139" customFormat="false" ht="15" hidden="false" customHeight="false" outlineLevel="0" collapsed="false">
      <c r="A139" s="11"/>
      <c r="B139" s="12" t="str">
        <f aca="false">IF(A139="","",IFERROR(INDEX(Productos!$D$2:$D$1001,MATCH(A139,Productos!$A$2:$A$1001,0))&amp;" — "&amp;INDEX(Productos!$E$2:$E$1001,MATCH(A139,Productos!$A$2:$A$1001,0)),"SKU no existe en Productos"))</f>
        <v/>
      </c>
      <c r="C139" s="11"/>
      <c r="D139" s="11"/>
      <c r="E139" s="11"/>
      <c r="F139" s="12" t="str">
        <f aca="false">IF(A139="","",SUM(C139:E139))</f>
        <v/>
      </c>
      <c r="G139" s="16" t="str">
        <f aca="false">IF(A139="","",IFERROR(INDEX(Productos!$K$2:$K$1001,MATCH(A139,Productos!$A$2:$A$1001,0)),""))</f>
        <v/>
      </c>
      <c r="H139" s="16" t="str">
        <f aca="false">IF(OR(A139="",G139=""),"",F139*G139)</f>
        <v/>
      </c>
    </row>
    <row r="140" customFormat="false" ht="15" hidden="false" customHeight="false" outlineLevel="0" collapsed="false">
      <c r="A140" s="11"/>
      <c r="B140" s="12" t="str">
        <f aca="false">IF(A140="","",IFERROR(INDEX(Productos!$D$2:$D$1001,MATCH(A140,Productos!$A$2:$A$1001,0))&amp;" — "&amp;INDEX(Productos!$E$2:$E$1001,MATCH(A140,Productos!$A$2:$A$1001,0)),"SKU no existe en Productos"))</f>
        <v/>
      </c>
      <c r="C140" s="11"/>
      <c r="D140" s="11"/>
      <c r="E140" s="11"/>
      <c r="F140" s="12" t="str">
        <f aca="false">IF(A140="","",SUM(C140:E140))</f>
        <v/>
      </c>
      <c r="G140" s="16" t="str">
        <f aca="false">IF(A140="","",IFERROR(INDEX(Productos!$K$2:$K$1001,MATCH(A140,Productos!$A$2:$A$1001,0)),""))</f>
        <v/>
      </c>
      <c r="H140" s="16" t="str">
        <f aca="false">IF(OR(A140="",G140=""),"",F140*G140)</f>
        <v/>
      </c>
    </row>
    <row r="141" customFormat="false" ht="15" hidden="false" customHeight="false" outlineLevel="0" collapsed="false">
      <c r="A141" s="11"/>
      <c r="B141" s="12" t="str">
        <f aca="false">IF(A141="","",IFERROR(INDEX(Productos!$D$2:$D$1001,MATCH(A141,Productos!$A$2:$A$1001,0))&amp;" — "&amp;INDEX(Productos!$E$2:$E$1001,MATCH(A141,Productos!$A$2:$A$1001,0)),"SKU no existe en Productos"))</f>
        <v/>
      </c>
      <c r="C141" s="11"/>
      <c r="D141" s="11"/>
      <c r="E141" s="11"/>
      <c r="F141" s="12" t="str">
        <f aca="false">IF(A141="","",SUM(C141:E141))</f>
        <v/>
      </c>
      <c r="G141" s="16" t="str">
        <f aca="false">IF(A141="","",IFERROR(INDEX(Productos!$K$2:$K$1001,MATCH(A141,Productos!$A$2:$A$1001,0)),""))</f>
        <v/>
      </c>
      <c r="H141" s="16" t="str">
        <f aca="false">IF(OR(A141="",G141=""),"",F141*G141)</f>
        <v/>
      </c>
    </row>
    <row r="142" customFormat="false" ht="15" hidden="false" customHeight="false" outlineLevel="0" collapsed="false">
      <c r="A142" s="11"/>
      <c r="B142" s="12" t="str">
        <f aca="false">IF(A142="","",IFERROR(INDEX(Productos!$D$2:$D$1001,MATCH(A142,Productos!$A$2:$A$1001,0))&amp;" — "&amp;INDEX(Productos!$E$2:$E$1001,MATCH(A142,Productos!$A$2:$A$1001,0)),"SKU no existe en Productos"))</f>
        <v/>
      </c>
      <c r="C142" s="11"/>
      <c r="D142" s="11"/>
      <c r="E142" s="11"/>
      <c r="F142" s="12" t="str">
        <f aca="false">IF(A142="","",SUM(C142:E142))</f>
        <v/>
      </c>
      <c r="G142" s="16" t="str">
        <f aca="false">IF(A142="","",IFERROR(INDEX(Productos!$K$2:$K$1001,MATCH(A142,Productos!$A$2:$A$1001,0)),""))</f>
        <v/>
      </c>
      <c r="H142" s="16" t="str">
        <f aca="false">IF(OR(A142="",G142=""),"",F142*G142)</f>
        <v/>
      </c>
    </row>
    <row r="143" customFormat="false" ht="15" hidden="false" customHeight="false" outlineLevel="0" collapsed="false">
      <c r="A143" s="11"/>
      <c r="B143" s="12" t="str">
        <f aca="false">IF(A143="","",IFERROR(INDEX(Productos!$D$2:$D$1001,MATCH(A143,Productos!$A$2:$A$1001,0))&amp;" — "&amp;INDEX(Productos!$E$2:$E$1001,MATCH(A143,Productos!$A$2:$A$1001,0)),"SKU no existe en Productos"))</f>
        <v/>
      </c>
      <c r="C143" s="11"/>
      <c r="D143" s="11"/>
      <c r="E143" s="11"/>
      <c r="F143" s="12" t="str">
        <f aca="false">IF(A143="","",SUM(C143:E143))</f>
        <v/>
      </c>
      <c r="G143" s="16" t="str">
        <f aca="false">IF(A143="","",IFERROR(INDEX(Productos!$K$2:$K$1001,MATCH(A143,Productos!$A$2:$A$1001,0)),""))</f>
        <v/>
      </c>
      <c r="H143" s="16" t="str">
        <f aca="false">IF(OR(A143="",G143=""),"",F143*G143)</f>
        <v/>
      </c>
    </row>
    <row r="144" customFormat="false" ht="15" hidden="false" customHeight="false" outlineLevel="0" collapsed="false">
      <c r="A144" s="11"/>
      <c r="B144" s="12" t="str">
        <f aca="false">IF(A144="","",IFERROR(INDEX(Productos!$D$2:$D$1001,MATCH(A144,Productos!$A$2:$A$1001,0))&amp;" — "&amp;INDEX(Productos!$E$2:$E$1001,MATCH(A144,Productos!$A$2:$A$1001,0)),"SKU no existe en Productos"))</f>
        <v/>
      </c>
      <c r="C144" s="11"/>
      <c r="D144" s="11"/>
      <c r="E144" s="11"/>
      <c r="F144" s="12" t="str">
        <f aca="false">IF(A144="","",SUM(C144:E144))</f>
        <v/>
      </c>
      <c r="G144" s="16" t="str">
        <f aca="false">IF(A144="","",IFERROR(INDEX(Productos!$K$2:$K$1001,MATCH(A144,Productos!$A$2:$A$1001,0)),""))</f>
        <v/>
      </c>
      <c r="H144" s="16" t="str">
        <f aca="false">IF(OR(A144="",G144=""),"",F144*G144)</f>
        <v/>
      </c>
    </row>
    <row r="145" customFormat="false" ht="15" hidden="false" customHeight="false" outlineLevel="0" collapsed="false">
      <c r="A145" s="11"/>
      <c r="B145" s="12" t="str">
        <f aca="false">IF(A145="","",IFERROR(INDEX(Productos!$D$2:$D$1001,MATCH(A145,Productos!$A$2:$A$1001,0))&amp;" — "&amp;INDEX(Productos!$E$2:$E$1001,MATCH(A145,Productos!$A$2:$A$1001,0)),"SKU no existe en Productos"))</f>
        <v/>
      </c>
      <c r="C145" s="11"/>
      <c r="D145" s="11"/>
      <c r="E145" s="11"/>
      <c r="F145" s="12" t="str">
        <f aca="false">IF(A145="","",SUM(C145:E145))</f>
        <v/>
      </c>
      <c r="G145" s="16" t="str">
        <f aca="false">IF(A145="","",IFERROR(INDEX(Productos!$K$2:$K$1001,MATCH(A145,Productos!$A$2:$A$1001,0)),""))</f>
        <v/>
      </c>
      <c r="H145" s="16" t="str">
        <f aca="false">IF(OR(A145="",G145=""),"",F145*G145)</f>
        <v/>
      </c>
    </row>
    <row r="146" customFormat="false" ht="15" hidden="false" customHeight="false" outlineLevel="0" collapsed="false">
      <c r="A146" s="11"/>
      <c r="B146" s="12" t="str">
        <f aca="false">IF(A146="","",IFERROR(INDEX(Productos!$D$2:$D$1001,MATCH(A146,Productos!$A$2:$A$1001,0))&amp;" — "&amp;INDEX(Productos!$E$2:$E$1001,MATCH(A146,Productos!$A$2:$A$1001,0)),"SKU no existe en Productos"))</f>
        <v/>
      </c>
      <c r="C146" s="11"/>
      <c r="D146" s="11"/>
      <c r="E146" s="11"/>
      <c r="F146" s="12" t="str">
        <f aca="false">IF(A146="","",SUM(C146:E146))</f>
        <v/>
      </c>
      <c r="G146" s="16" t="str">
        <f aca="false">IF(A146="","",IFERROR(INDEX(Productos!$K$2:$K$1001,MATCH(A146,Productos!$A$2:$A$1001,0)),""))</f>
        <v/>
      </c>
      <c r="H146" s="16" t="str">
        <f aca="false">IF(OR(A146="",G146=""),"",F146*G146)</f>
        <v/>
      </c>
    </row>
    <row r="147" customFormat="false" ht="15" hidden="false" customHeight="false" outlineLevel="0" collapsed="false">
      <c r="A147" s="11"/>
      <c r="B147" s="12" t="str">
        <f aca="false">IF(A147="","",IFERROR(INDEX(Productos!$D$2:$D$1001,MATCH(A147,Productos!$A$2:$A$1001,0))&amp;" — "&amp;INDEX(Productos!$E$2:$E$1001,MATCH(A147,Productos!$A$2:$A$1001,0)),"SKU no existe en Productos"))</f>
        <v/>
      </c>
      <c r="C147" s="11"/>
      <c r="D147" s="11"/>
      <c r="E147" s="11"/>
      <c r="F147" s="12" t="str">
        <f aca="false">IF(A147="","",SUM(C147:E147))</f>
        <v/>
      </c>
      <c r="G147" s="16" t="str">
        <f aca="false">IF(A147="","",IFERROR(INDEX(Productos!$K$2:$K$1001,MATCH(A147,Productos!$A$2:$A$1001,0)),""))</f>
        <v/>
      </c>
      <c r="H147" s="16" t="str">
        <f aca="false">IF(OR(A147="",G147=""),"",F147*G147)</f>
        <v/>
      </c>
    </row>
    <row r="148" customFormat="false" ht="15" hidden="false" customHeight="false" outlineLevel="0" collapsed="false">
      <c r="A148" s="11"/>
      <c r="B148" s="12" t="str">
        <f aca="false">IF(A148="","",IFERROR(INDEX(Productos!$D$2:$D$1001,MATCH(A148,Productos!$A$2:$A$1001,0))&amp;" — "&amp;INDEX(Productos!$E$2:$E$1001,MATCH(A148,Productos!$A$2:$A$1001,0)),"SKU no existe en Productos"))</f>
        <v/>
      </c>
      <c r="C148" s="11"/>
      <c r="D148" s="11"/>
      <c r="E148" s="11"/>
      <c r="F148" s="12" t="str">
        <f aca="false">IF(A148="","",SUM(C148:E148))</f>
        <v/>
      </c>
      <c r="G148" s="16" t="str">
        <f aca="false">IF(A148="","",IFERROR(INDEX(Productos!$K$2:$K$1001,MATCH(A148,Productos!$A$2:$A$1001,0)),""))</f>
        <v/>
      </c>
      <c r="H148" s="16" t="str">
        <f aca="false">IF(OR(A148="",G148=""),"",F148*G148)</f>
        <v/>
      </c>
    </row>
    <row r="149" customFormat="false" ht="15" hidden="false" customHeight="false" outlineLevel="0" collapsed="false">
      <c r="A149" s="11"/>
      <c r="B149" s="12" t="str">
        <f aca="false">IF(A149="","",IFERROR(INDEX(Productos!$D$2:$D$1001,MATCH(A149,Productos!$A$2:$A$1001,0))&amp;" — "&amp;INDEX(Productos!$E$2:$E$1001,MATCH(A149,Productos!$A$2:$A$1001,0)),"SKU no existe en Productos"))</f>
        <v/>
      </c>
      <c r="C149" s="11"/>
      <c r="D149" s="11"/>
      <c r="E149" s="11"/>
      <c r="F149" s="12" t="str">
        <f aca="false">IF(A149="","",SUM(C149:E149))</f>
        <v/>
      </c>
      <c r="G149" s="16" t="str">
        <f aca="false">IF(A149="","",IFERROR(INDEX(Productos!$K$2:$K$1001,MATCH(A149,Productos!$A$2:$A$1001,0)),""))</f>
        <v/>
      </c>
      <c r="H149" s="16" t="str">
        <f aca="false">IF(OR(A149="",G149=""),"",F149*G149)</f>
        <v/>
      </c>
    </row>
    <row r="150" customFormat="false" ht="15" hidden="false" customHeight="false" outlineLevel="0" collapsed="false">
      <c r="A150" s="11"/>
      <c r="B150" s="12" t="str">
        <f aca="false">IF(A150="","",IFERROR(INDEX(Productos!$D$2:$D$1001,MATCH(A150,Productos!$A$2:$A$1001,0))&amp;" — "&amp;INDEX(Productos!$E$2:$E$1001,MATCH(A150,Productos!$A$2:$A$1001,0)),"SKU no existe en Productos"))</f>
        <v/>
      </c>
      <c r="C150" s="11"/>
      <c r="D150" s="11"/>
      <c r="E150" s="11"/>
      <c r="F150" s="12" t="str">
        <f aca="false">IF(A150="","",SUM(C150:E150))</f>
        <v/>
      </c>
      <c r="G150" s="16" t="str">
        <f aca="false">IF(A150="","",IFERROR(INDEX(Productos!$K$2:$K$1001,MATCH(A150,Productos!$A$2:$A$1001,0)),""))</f>
        <v/>
      </c>
      <c r="H150" s="16" t="str">
        <f aca="false">IF(OR(A150="",G150=""),"",F150*G150)</f>
        <v/>
      </c>
    </row>
    <row r="151" customFormat="false" ht="15" hidden="false" customHeight="false" outlineLevel="0" collapsed="false">
      <c r="A151" s="11"/>
      <c r="B151" s="12" t="str">
        <f aca="false">IF(A151="","",IFERROR(INDEX(Productos!$D$2:$D$1001,MATCH(A151,Productos!$A$2:$A$1001,0))&amp;" — "&amp;INDEX(Productos!$E$2:$E$1001,MATCH(A151,Productos!$A$2:$A$1001,0)),"SKU no existe en Productos"))</f>
        <v/>
      </c>
      <c r="C151" s="11"/>
      <c r="D151" s="11"/>
      <c r="E151" s="11"/>
      <c r="F151" s="12" t="str">
        <f aca="false">IF(A151="","",SUM(C151:E151))</f>
        <v/>
      </c>
      <c r="G151" s="16" t="str">
        <f aca="false">IF(A151="","",IFERROR(INDEX(Productos!$K$2:$K$1001,MATCH(A151,Productos!$A$2:$A$1001,0)),""))</f>
        <v/>
      </c>
      <c r="H151" s="16" t="str">
        <f aca="false">IF(OR(A151="",G151=""),"",F151*G151)</f>
        <v/>
      </c>
    </row>
    <row r="152" customFormat="false" ht="15" hidden="false" customHeight="false" outlineLevel="0" collapsed="false">
      <c r="A152" s="11"/>
      <c r="B152" s="12" t="str">
        <f aca="false">IF(A152="","",IFERROR(INDEX(Productos!$D$2:$D$1001,MATCH(A152,Productos!$A$2:$A$1001,0))&amp;" — "&amp;INDEX(Productos!$E$2:$E$1001,MATCH(A152,Productos!$A$2:$A$1001,0)),"SKU no existe en Productos"))</f>
        <v/>
      </c>
      <c r="C152" s="11"/>
      <c r="D152" s="11"/>
      <c r="E152" s="11"/>
      <c r="F152" s="12" t="str">
        <f aca="false">IF(A152="","",SUM(C152:E152))</f>
        <v/>
      </c>
      <c r="G152" s="16" t="str">
        <f aca="false">IF(A152="","",IFERROR(INDEX(Productos!$K$2:$K$1001,MATCH(A152,Productos!$A$2:$A$1001,0)),""))</f>
        <v/>
      </c>
      <c r="H152" s="16" t="str">
        <f aca="false">IF(OR(A152="",G152=""),"",F152*G152)</f>
        <v/>
      </c>
    </row>
    <row r="153" customFormat="false" ht="15" hidden="false" customHeight="false" outlineLevel="0" collapsed="false">
      <c r="A153" s="11"/>
      <c r="B153" s="12" t="str">
        <f aca="false">IF(A153="","",IFERROR(INDEX(Productos!$D$2:$D$1001,MATCH(A153,Productos!$A$2:$A$1001,0))&amp;" — "&amp;INDEX(Productos!$E$2:$E$1001,MATCH(A153,Productos!$A$2:$A$1001,0)),"SKU no existe en Productos"))</f>
        <v/>
      </c>
      <c r="C153" s="11"/>
      <c r="D153" s="11"/>
      <c r="E153" s="11"/>
      <c r="F153" s="12" t="str">
        <f aca="false">IF(A153="","",SUM(C153:E153))</f>
        <v/>
      </c>
      <c r="G153" s="16" t="str">
        <f aca="false">IF(A153="","",IFERROR(INDEX(Productos!$K$2:$K$1001,MATCH(A153,Productos!$A$2:$A$1001,0)),""))</f>
        <v/>
      </c>
      <c r="H153" s="16" t="str">
        <f aca="false">IF(OR(A153="",G153=""),"",F153*G153)</f>
        <v/>
      </c>
    </row>
    <row r="154" customFormat="false" ht="15" hidden="false" customHeight="false" outlineLevel="0" collapsed="false">
      <c r="A154" s="11"/>
      <c r="B154" s="12" t="str">
        <f aca="false">IF(A154="","",IFERROR(INDEX(Productos!$D$2:$D$1001,MATCH(A154,Productos!$A$2:$A$1001,0))&amp;" — "&amp;INDEX(Productos!$E$2:$E$1001,MATCH(A154,Productos!$A$2:$A$1001,0)),"SKU no existe en Productos"))</f>
        <v/>
      </c>
      <c r="C154" s="11"/>
      <c r="D154" s="11"/>
      <c r="E154" s="11"/>
      <c r="F154" s="12" t="str">
        <f aca="false">IF(A154="","",SUM(C154:E154))</f>
        <v/>
      </c>
      <c r="G154" s="16" t="str">
        <f aca="false">IF(A154="","",IFERROR(INDEX(Productos!$K$2:$K$1001,MATCH(A154,Productos!$A$2:$A$1001,0)),""))</f>
        <v/>
      </c>
      <c r="H154" s="16" t="str">
        <f aca="false">IF(OR(A154="",G154=""),"",F154*G154)</f>
        <v/>
      </c>
    </row>
    <row r="155" customFormat="false" ht="15" hidden="false" customHeight="false" outlineLevel="0" collapsed="false">
      <c r="A155" s="11"/>
      <c r="B155" s="12" t="str">
        <f aca="false">IF(A155="","",IFERROR(INDEX(Productos!$D$2:$D$1001,MATCH(A155,Productos!$A$2:$A$1001,0))&amp;" — "&amp;INDEX(Productos!$E$2:$E$1001,MATCH(A155,Productos!$A$2:$A$1001,0)),"SKU no existe en Productos"))</f>
        <v/>
      </c>
      <c r="C155" s="11"/>
      <c r="D155" s="11"/>
      <c r="E155" s="11"/>
      <c r="F155" s="12" t="str">
        <f aca="false">IF(A155="","",SUM(C155:E155))</f>
        <v/>
      </c>
      <c r="G155" s="16" t="str">
        <f aca="false">IF(A155="","",IFERROR(INDEX(Productos!$K$2:$K$1001,MATCH(A155,Productos!$A$2:$A$1001,0)),""))</f>
        <v/>
      </c>
      <c r="H155" s="16" t="str">
        <f aca="false">IF(OR(A155="",G155=""),"",F155*G155)</f>
        <v/>
      </c>
    </row>
    <row r="156" customFormat="false" ht="15" hidden="false" customHeight="false" outlineLevel="0" collapsed="false">
      <c r="A156" s="11"/>
      <c r="B156" s="12" t="str">
        <f aca="false">IF(A156="","",IFERROR(INDEX(Productos!$D$2:$D$1001,MATCH(A156,Productos!$A$2:$A$1001,0))&amp;" — "&amp;INDEX(Productos!$E$2:$E$1001,MATCH(A156,Productos!$A$2:$A$1001,0)),"SKU no existe en Productos"))</f>
        <v/>
      </c>
      <c r="C156" s="11"/>
      <c r="D156" s="11"/>
      <c r="E156" s="11"/>
      <c r="F156" s="12" t="str">
        <f aca="false">IF(A156="","",SUM(C156:E156))</f>
        <v/>
      </c>
      <c r="G156" s="16" t="str">
        <f aca="false">IF(A156="","",IFERROR(INDEX(Productos!$K$2:$K$1001,MATCH(A156,Productos!$A$2:$A$1001,0)),""))</f>
        <v/>
      </c>
      <c r="H156" s="16" t="str">
        <f aca="false">IF(OR(A156="",G156=""),"",F156*G156)</f>
        <v/>
      </c>
    </row>
    <row r="157" customFormat="false" ht="15" hidden="false" customHeight="false" outlineLevel="0" collapsed="false">
      <c r="A157" s="11"/>
      <c r="B157" s="12" t="str">
        <f aca="false">IF(A157="","",IFERROR(INDEX(Productos!$D$2:$D$1001,MATCH(A157,Productos!$A$2:$A$1001,0))&amp;" — "&amp;INDEX(Productos!$E$2:$E$1001,MATCH(A157,Productos!$A$2:$A$1001,0)),"SKU no existe en Productos"))</f>
        <v/>
      </c>
      <c r="C157" s="11"/>
      <c r="D157" s="11"/>
      <c r="E157" s="11"/>
      <c r="F157" s="12" t="str">
        <f aca="false">IF(A157="","",SUM(C157:E157))</f>
        <v/>
      </c>
      <c r="G157" s="16" t="str">
        <f aca="false">IF(A157="","",IFERROR(INDEX(Productos!$K$2:$K$1001,MATCH(A157,Productos!$A$2:$A$1001,0)),""))</f>
        <v/>
      </c>
      <c r="H157" s="16" t="str">
        <f aca="false">IF(OR(A157="",G157=""),"",F157*G157)</f>
        <v/>
      </c>
    </row>
    <row r="158" customFormat="false" ht="15" hidden="false" customHeight="false" outlineLevel="0" collapsed="false">
      <c r="A158" s="11"/>
      <c r="B158" s="12" t="str">
        <f aca="false">IF(A158="","",IFERROR(INDEX(Productos!$D$2:$D$1001,MATCH(A158,Productos!$A$2:$A$1001,0))&amp;" — "&amp;INDEX(Productos!$E$2:$E$1001,MATCH(A158,Productos!$A$2:$A$1001,0)),"SKU no existe en Productos"))</f>
        <v/>
      </c>
      <c r="C158" s="11"/>
      <c r="D158" s="11"/>
      <c r="E158" s="11"/>
      <c r="F158" s="12" t="str">
        <f aca="false">IF(A158="","",SUM(C158:E158))</f>
        <v/>
      </c>
      <c r="G158" s="16" t="str">
        <f aca="false">IF(A158="","",IFERROR(INDEX(Productos!$K$2:$K$1001,MATCH(A158,Productos!$A$2:$A$1001,0)),""))</f>
        <v/>
      </c>
      <c r="H158" s="16" t="str">
        <f aca="false">IF(OR(A158="",G158=""),"",F158*G158)</f>
        <v/>
      </c>
    </row>
    <row r="159" customFormat="false" ht="15" hidden="false" customHeight="false" outlineLevel="0" collapsed="false">
      <c r="A159" s="11"/>
      <c r="B159" s="12" t="str">
        <f aca="false">IF(A159="","",IFERROR(INDEX(Productos!$D$2:$D$1001,MATCH(A159,Productos!$A$2:$A$1001,0))&amp;" — "&amp;INDEX(Productos!$E$2:$E$1001,MATCH(A159,Productos!$A$2:$A$1001,0)),"SKU no existe en Productos"))</f>
        <v/>
      </c>
      <c r="C159" s="11"/>
      <c r="D159" s="11"/>
      <c r="E159" s="11"/>
      <c r="F159" s="12" t="str">
        <f aca="false">IF(A159="","",SUM(C159:E159))</f>
        <v/>
      </c>
      <c r="G159" s="16" t="str">
        <f aca="false">IF(A159="","",IFERROR(INDEX(Productos!$K$2:$K$1001,MATCH(A159,Productos!$A$2:$A$1001,0)),""))</f>
        <v/>
      </c>
      <c r="H159" s="16" t="str">
        <f aca="false">IF(OR(A159="",G159=""),"",F159*G159)</f>
        <v/>
      </c>
    </row>
    <row r="160" customFormat="false" ht="15" hidden="false" customHeight="false" outlineLevel="0" collapsed="false">
      <c r="A160" s="11"/>
      <c r="B160" s="12" t="str">
        <f aca="false">IF(A160="","",IFERROR(INDEX(Productos!$D$2:$D$1001,MATCH(A160,Productos!$A$2:$A$1001,0))&amp;" — "&amp;INDEX(Productos!$E$2:$E$1001,MATCH(A160,Productos!$A$2:$A$1001,0)),"SKU no existe en Productos"))</f>
        <v/>
      </c>
      <c r="C160" s="11"/>
      <c r="D160" s="11"/>
      <c r="E160" s="11"/>
      <c r="F160" s="12" t="str">
        <f aca="false">IF(A160="","",SUM(C160:E160))</f>
        <v/>
      </c>
      <c r="G160" s="16" t="str">
        <f aca="false">IF(A160="","",IFERROR(INDEX(Productos!$K$2:$K$1001,MATCH(A160,Productos!$A$2:$A$1001,0)),""))</f>
        <v/>
      </c>
      <c r="H160" s="16" t="str">
        <f aca="false">IF(OR(A160="",G160=""),"",F160*G160)</f>
        <v/>
      </c>
    </row>
    <row r="161" customFormat="false" ht="15" hidden="false" customHeight="false" outlineLevel="0" collapsed="false">
      <c r="A161" s="11"/>
      <c r="B161" s="12" t="str">
        <f aca="false">IF(A161="","",IFERROR(INDEX(Productos!$D$2:$D$1001,MATCH(A161,Productos!$A$2:$A$1001,0))&amp;" — "&amp;INDEX(Productos!$E$2:$E$1001,MATCH(A161,Productos!$A$2:$A$1001,0)),"SKU no existe en Productos"))</f>
        <v/>
      </c>
      <c r="C161" s="11"/>
      <c r="D161" s="11"/>
      <c r="E161" s="11"/>
      <c r="F161" s="12" t="str">
        <f aca="false">IF(A161="","",SUM(C161:E161))</f>
        <v/>
      </c>
      <c r="G161" s="16" t="str">
        <f aca="false">IF(A161="","",IFERROR(INDEX(Productos!$K$2:$K$1001,MATCH(A161,Productos!$A$2:$A$1001,0)),""))</f>
        <v/>
      </c>
      <c r="H161" s="16" t="str">
        <f aca="false">IF(OR(A161="",G161=""),"",F161*G161)</f>
        <v/>
      </c>
    </row>
    <row r="162" customFormat="false" ht="15" hidden="false" customHeight="false" outlineLevel="0" collapsed="false">
      <c r="A162" s="11"/>
      <c r="B162" s="12" t="str">
        <f aca="false">IF(A162="","",IFERROR(INDEX(Productos!$D$2:$D$1001,MATCH(A162,Productos!$A$2:$A$1001,0))&amp;" — "&amp;INDEX(Productos!$E$2:$E$1001,MATCH(A162,Productos!$A$2:$A$1001,0)),"SKU no existe en Productos"))</f>
        <v/>
      </c>
      <c r="C162" s="11"/>
      <c r="D162" s="11"/>
      <c r="E162" s="11"/>
      <c r="F162" s="12" t="str">
        <f aca="false">IF(A162="","",SUM(C162:E162))</f>
        <v/>
      </c>
      <c r="G162" s="16" t="str">
        <f aca="false">IF(A162="","",IFERROR(INDEX(Productos!$K$2:$K$1001,MATCH(A162,Productos!$A$2:$A$1001,0)),""))</f>
        <v/>
      </c>
      <c r="H162" s="16" t="str">
        <f aca="false">IF(OR(A162="",G162=""),"",F162*G162)</f>
        <v/>
      </c>
    </row>
    <row r="163" customFormat="false" ht="15" hidden="false" customHeight="false" outlineLevel="0" collapsed="false">
      <c r="A163" s="11"/>
      <c r="B163" s="12" t="str">
        <f aca="false">IF(A163="","",IFERROR(INDEX(Productos!$D$2:$D$1001,MATCH(A163,Productos!$A$2:$A$1001,0))&amp;" — "&amp;INDEX(Productos!$E$2:$E$1001,MATCH(A163,Productos!$A$2:$A$1001,0)),"SKU no existe en Productos"))</f>
        <v/>
      </c>
      <c r="C163" s="11"/>
      <c r="D163" s="11"/>
      <c r="E163" s="11"/>
      <c r="F163" s="12" t="str">
        <f aca="false">IF(A163="","",SUM(C163:E163))</f>
        <v/>
      </c>
      <c r="G163" s="16" t="str">
        <f aca="false">IF(A163="","",IFERROR(INDEX(Productos!$K$2:$K$1001,MATCH(A163,Productos!$A$2:$A$1001,0)),""))</f>
        <v/>
      </c>
      <c r="H163" s="16" t="str">
        <f aca="false">IF(OR(A163="",G163=""),"",F163*G163)</f>
        <v/>
      </c>
    </row>
    <row r="164" customFormat="false" ht="15" hidden="false" customHeight="false" outlineLevel="0" collapsed="false">
      <c r="A164" s="11"/>
      <c r="B164" s="12" t="str">
        <f aca="false">IF(A164="","",IFERROR(INDEX(Productos!$D$2:$D$1001,MATCH(A164,Productos!$A$2:$A$1001,0))&amp;" — "&amp;INDEX(Productos!$E$2:$E$1001,MATCH(A164,Productos!$A$2:$A$1001,0)),"SKU no existe en Productos"))</f>
        <v/>
      </c>
      <c r="C164" s="11"/>
      <c r="D164" s="11"/>
      <c r="E164" s="11"/>
      <c r="F164" s="12" t="str">
        <f aca="false">IF(A164="","",SUM(C164:E164))</f>
        <v/>
      </c>
      <c r="G164" s="16" t="str">
        <f aca="false">IF(A164="","",IFERROR(INDEX(Productos!$K$2:$K$1001,MATCH(A164,Productos!$A$2:$A$1001,0)),""))</f>
        <v/>
      </c>
      <c r="H164" s="16" t="str">
        <f aca="false">IF(OR(A164="",G164=""),"",F164*G164)</f>
        <v/>
      </c>
    </row>
    <row r="165" customFormat="false" ht="15" hidden="false" customHeight="false" outlineLevel="0" collapsed="false">
      <c r="A165" s="11"/>
      <c r="B165" s="12" t="str">
        <f aca="false">IF(A165="","",IFERROR(INDEX(Productos!$D$2:$D$1001,MATCH(A165,Productos!$A$2:$A$1001,0))&amp;" — "&amp;INDEX(Productos!$E$2:$E$1001,MATCH(A165,Productos!$A$2:$A$1001,0)),"SKU no existe en Productos"))</f>
        <v/>
      </c>
      <c r="C165" s="11"/>
      <c r="D165" s="11"/>
      <c r="E165" s="11"/>
      <c r="F165" s="12" t="str">
        <f aca="false">IF(A165="","",SUM(C165:E165))</f>
        <v/>
      </c>
      <c r="G165" s="16" t="str">
        <f aca="false">IF(A165="","",IFERROR(INDEX(Productos!$K$2:$K$1001,MATCH(A165,Productos!$A$2:$A$1001,0)),""))</f>
        <v/>
      </c>
      <c r="H165" s="16" t="str">
        <f aca="false">IF(OR(A165="",G165=""),"",F165*G165)</f>
        <v/>
      </c>
    </row>
    <row r="166" customFormat="false" ht="15" hidden="false" customHeight="false" outlineLevel="0" collapsed="false">
      <c r="A166" s="11"/>
      <c r="B166" s="12" t="str">
        <f aca="false">IF(A166="","",IFERROR(INDEX(Productos!$D$2:$D$1001,MATCH(A166,Productos!$A$2:$A$1001,0))&amp;" — "&amp;INDEX(Productos!$E$2:$E$1001,MATCH(A166,Productos!$A$2:$A$1001,0)),"SKU no existe en Productos"))</f>
        <v/>
      </c>
      <c r="C166" s="11"/>
      <c r="D166" s="11"/>
      <c r="E166" s="11"/>
      <c r="F166" s="12" t="str">
        <f aca="false">IF(A166="","",SUM(C166:E166))</f>
        <v/>
      </c>
      <c r="G166" s="16" t="str">
        <f aca="false">IF(A166="","",IFERROR(INDEX(Productos!$K$2:$K$1001,MATCH(A166,Productos!$A$2:$A$1001,0)),""))</f>
        <v/>
      </c>
      <c r="H166" s="16" t="str">
        <f aca="false">IF(OR(A166="",G166=""),"",F166*G166)</f>
        <v/>
      </c>
    </row>
    <row r="167" customFormat="false" ht="15" hidden="false" customHeight="false" outlineLevel="0" collapsed="false">
      <c r="A167" s="11"/>
      <c r="B167" s="12" t="str">
        <f aca="false">IF(A167="","",IFERROR(INDEX(Productos!$D$2:$D$1001,MATCH(A167,Productos!$A$2:$A$1001,0))&amp;" — "&amp;INDEX(Productos!$E$2:$E$1001,MATCH(A167,Productos!$A$2:$A$1001,0)),"SKU no existe en Productos"))</f>
        <v/>
      </c>
      <c r="C167" s="11"/>
      <c r="D167" s="11"/>
      <c r="E167" s="11"/>
      <c r="F167" s="12" t="str">
        <f aca="false">IF(A167="","",SUM(C167:E167))</f>
        <v/>
      </c>
      <c r="G167" s="16" t="str">
        <f aca="false">IF(A167="","",IFERROR(INDEX(Productos!$K$2:$K$1001,MATCH(A167,Productos!$A$2:$A$1001,0)),""))</f>
        <v/>
      </c>
      <c r="H167" s="16" t="str">
        <f aca="false">IF(OR(A167="",G167=""),"",F167*G167)</f>
        <v/>
      </c>
    </row>
    <row r="168" customFormat="false" ht="15" hidden="false" customHeight="false" outlineLevel="0" collapsed="false">
      <c r="A168" s="11"/>
      <c r="B168" s="12" t="str">
        <f aca="false">IF(A168="","",IFERROR(INDEX(Productos!$D$2:$D$1001,MATCH(A168,Productos!$A$2:$A$1001,0))&amp;" — "&amp;INDEX(Productos!$E$2:$E$1001,MATCH(A168,Productos!$A$2:$A$1001,0)),"SKU no existe en Productos"))</f>
        <v/>
      </c>
      <c r="C168" s="11"/>
      <c r="D168" s="11"/>
      <c r="E168" s="11"/>
      <c r="F168" s="12" t="str">
        <f aca="false">IF(A168="","",SUM(C168:E168))</f>
        <v/>
      </c>
      <c r="G168" s="16" t="str">
        <f aca="false">IF(A168="","",IFERROR(INDEX(Productos!$K$2:$K$1001,MATCH(A168,Productos!$A$2:$A$1001,0)),""))</f>
        <v/>
      </c>
      <c r="H168" s="16" t="str">
        <f aca="false">IF(OR(A168="",G168=""),"",F168*G168)</f>
        <v/>
      </c>
    </row>
    <row r="169" customFormat="false" ht="15" hidden="false" customHeight="false" outlineLevel="0" collapsed="false">
      <c r="A169" s="11"/>
      <c r="B169" s="12" t="str">
        <f aca="false">IF(A169="","",IFERROR(INDEX(Productos!$D$2:$D$1001,MATCH(A169,Productos!$A$2:$A$1001,0))&amp;" — "&amp;INDEX(Productos!$E$2:$E$1001,MATCH(A169,Productos!$A$2:$A$1001,0)),"SKU no existe en Productos"))</f>
        <v/>
      </c>
      <c r="C169" s="11"/>
      <c r="D169" s="11"/>
      <c r="E169" s="11"/>
      <c r="F169" s="12" t="str">
        <f aca="false">IF(A169="","",SUM(C169:E169))</f>
        <v/>
      </c>
      <c r="G169" s="16" t="str">
        <f aca="false">IF(A169="","",IFERROR(INDEX(Productos!$K$2:$K$1001,MATCH(A169,Productos!$A$2:$A$1001,0)),""))</f>
        <v/>
      </c>
      <c r="H169" s="16" t="str">
        <f aca="false">IF(OR(A169="",G169=""),"",F169*G169)</f>
        <v/>
      </c>
    </row>
    <row r="170" customFormat="false" ht="15" hidden="false" customHeight="false" outlineLevel="0" collapsed="false">
      <c r="A170" s="11"/>
      <c r="B170" s="12" t="str">
        <f aca="false">IF(A170="","",IFERROR(INDEX(Productos!$D$2:$D$1001,MATCH(A170,Productos!$A$2:$A$1001,0))&amp;" — "&amp;INDEX(Productos!$E$2:$E$1001,MATCH(A170,Productos!$A$2:$A$1001,0)),"SKU no existe en Productos"))</f>
        <v/>
      </c>
      <c r="C170" s="11"/>
      <c r="D170" s="11"/>
      <c r="E170" s="11"/>
      <c r="F170" s="12" t="str">
        <f aca="false">IF(A170="","",SUM(C170:E170))</f>
        <v/>
      </c>
      <c r="G170" s="16" t="str">
        <f aca="false">IF(A170="","",IFERROR(INDEX(Productos!$K$2:$K$1001,MATCH(A170,Productos!$A$2:$A$1001,0)),""))</f>
        <v/>
      </c>
      <c r="H170" s="16" t="str">
        <f aca="false">IF(OR(A170="",G170=""),"",F170*G170)</f>
        <v/>
      </c>
    </row>
    <row r="171" customFormat="false" ht="15" hidden="false" customHeight="false" outlineLevel="0" collapsed="false">
      <c r="A171" s="11"/>
      <c r="B171" s="12" t="str">
        <f aca="false">IF(A171="","",IFERROR(INDEX(Productos!$D$2:$D$1001,MATCH(A171,Productos!$A$2:$A$1001,0))&amp;" — "&amp;INDEX(Productos!$E$2:$E$1001,MATCH(A171,Productos!$A$2:$A$1001,0)),"SKU no existe en Productos"))</f>
        <v/>
      </c>
      <c r="C171" s="11"/>
      <c r="D171" s="11"/>
      <c r="E171" s="11"/>
      <c r="F171" s="12" t="str">
        <f aca="false">IF(A171="","",SUM(C171:E171))</f>
        <v/>
      </c>
      <c r="G171" s="16" t="str">
        <f aca="false">IF(A171="","",IFERROR(INDEX(Productos!$K$2:$K$1001,MATCH(A171,Productos!$A$2:$A$1001,0)),""))</f>
        <v/>
      </c>
      <c r="H171" s="16" t="str">
        <f aca="false">IF(OR(A171="",G171=""),"",F171*G171)</f>
        <v/>
      </c>
    </row>
    <row r="172" customFormat="false" ht="15" hidden="false" customHeight="false" outlineLevel="0" collapsed="false">
      <c r="A172" s="11"/>
      <c r="B172" s="12" t="str">
        <f aca="false">IF(A172="","",IFERROR(INDEX(Productos!$D$2:$D$1001,MATCH(A172,Productos!$A$2:$A$1001,0))&amp;" — "&amp;INDEX(Productos!$E$2:$E$1001,MATCH(A172,Productos!$A$2:$A$1001,0)),"SKU no existe en Productos"))</f>
        <v/>
      </c>
      <c r="C172" s="11"/>
      <c r="D172" s="11"/>
      <c r="E172" s="11"/>
      <c r="F172" s="12" t="str">
        <f aca="false">IF(A172="","",SUM(C172:E172))</f>
        <v/>
      </c>
      <c r="G172" s="16" t="str">
        <f aca="false">IF(A172="","",IFERROR(INDEX(Productos!$K$2:$K$1001,MATCH(A172,Productos!$A$2:$A$1001,0)),""))</f>
        <v/>
      </c>
      <c r="H172" s="16" t="str">
        <f aca="false">IF(OR(A172="",G172=""),"",F172*G172)</f>
        <v/>
      </c>
    </row>
    <row r="173" customFormat="false" ht="15" hidden="false" customHeight="false" outlineLevel="0" collapsed="false">
      <c r="A173" s="11"/>
      <c r="B173" s="12" t="str">
        <f aca="false">IF(A173="","",IFERROR(INDEX(Productos!$D$2:$D$1001,MATCH(A173,Productos!$A$2:$A$1001,0))&amp;" — "&amp;INDEX(Productos!$E$2:$E$1001,MATCH(A173,Productos!$A$2:$A$1001,0)),"SKU no existe en Productos"))</f>
        <v/>
      </c>
      <c r="C173" s="11"/>
      <c r="D173" s="11"/>
      <c r="E173" s="11"/>
      <c r="F173" s="12" t="str">
        <f aca="false">IF(A173="","",SUM(C173:E173))</f>
        <v/>
      </c>
      <c r="G173" s="16" t="str">
        <f aca="false">IF(A173="","",IFERROR(INDEX(Productos!$K$2:$K$1001,MATCH(A173,Productos!$A$2:$A$1001,0)),""))</f>
        <v/>
      </c>
      <c r="H173" s="16" t="str">
        <f aca="false">IF(OR(A173="",G173=""),"",F173*G173)</f>
        <v/>
      </c>
    </row>
    <row r="174" customFormat="false" ht="15" hidden="false" customHeight="false" outlineLevel="0" collapsed="false">
      <c r="A174" s="11"/>
      <c r="B174" s="12" t="str">
        <f aca="false">IF(A174="","",IFERROR(INDEX(Productos!$D$2:$D$1001,MATCH(A174,Productos!$A$2:$A$1001,0))&amp;" — "&amp;INDEX(Productos!$E$2:$E$1001,MATCH(A174,Productos!$A$2:$A$1001,0)),"SKU no existe en Productos"))</f>
        <v/>
      </c>
      <c r="C174" s="11"/>
      <c r="D174" s="11"/>
      <c r="E174" s="11"/>
      <c r="F174" s="12" t="str">
        <f aca="false">IF(A174="","",SUM(C174:E174))</f>
        <v/>
      </c>
      <c r="G174" s="16" t="str">
        <f aca="false">IF(A174="","",IFERROR(INDEX(Productos!$K$2:$K$1001,MATCH(A174,Productos!$A$2:$A$1001,0)),""))</f>
        <v/>
      </c>
      <c r="H174" s="16" t="str">
        <f aca="false">IF(OR(A174="",G174=""),"",F174*G174)</f>
        <v/>
      </c>
    </row>
    <row r="175" customFormat="false" ht="15" hidden="false" customHeight="false" outlineLevel="0" collapsed="false">
      <c r="A175" s="11"/>
      <c r="B175" s="12" t="str">
        <f aca="false">IF(A175="","",IFERROR(INDEX(Productos!$D$2:$D$1001,MATCH(A175,Productos!$A$2:$A$1001,0))&amp;" — "&amp;INDEX(Productos!$E$2:$E$1001,MATCH(A175,Productos!$A$2:$A$1001,0)),"SKU no existe en Productos"))</f>
        <v/>
      </c>
      <c r="C175" s="11"/>
      <c r="D175" s="11"/>
      <c r="E175" s="11"/>
      <c r="F175" s="12" t="str">
        <f aca="false">IF(A175="","",SUM(C175:E175))</f>
        <v/>
      </c>
      <c r="G175" s="16" t="str">
        <f aca="false">IF(A175="","",IFERROR(INDEX(Productos!$K$2:$K$1001,MATCH(A175,Productos!$A$2:$A$1001,0)),""))</f>
        <v/>
      </c>
      <c r="H175" s="16" t="str">
        <f aca="false">IF(OR(A175="",G175=""),"",F175*G175)</f>
        <v/>
      </c>
    </row>
    <row r="176" customFormat="false" ht="15" hidden="false" customHeight="false" outlineLevel="0" collapsed="false">
      <c r="A176" s="11"/>
      <c r="B176" s="12" t="str">
        <f aca="false">IF(A176="","",IFERROR(INDEX(Productos!$D$2:$D$1001,MATCH(A176,Productos!$A$2:$A$1001,0))&amp;" — "&amp;INDEX(Productos!$E$2:$E$1001,MATCH(A176,Productos!$A$2:$A$1001,0)),"SKU no existe en Productos"))</f>
        <v/>
      </c>
      <c r="C176" s="11"/>
      <c r="D176" s="11"/>
      <c r="E176" s="11"/>
      <c r="F176" s="12" t="str">
        <f aca="false">IF(A176="","",SUM(C176:E176))</f>
        <v/>
      </c>
      <c r="G176" s="16" t="str">
        <f aca="false">IF(A176="","",IFERROR(INDEX(Productos!$K$2:$K$1001,MATCH(A176,Productos!$A$2:$A$1001,0)),""))</f>
        <v/>
      </c>
      <c r="H176" s="16" t="str">
        <f aca="false">IF(OR(A176="",G176=""),"",F176*G176)</f>
        <v/>
      </c>
    </row>
    <row r="177" customFormat="false" ht="15" hidden="false" customHeight="false" outlineLevel="0" collapsed="false">
      <c r="A177" s="11"/>
      <c r="B177" s="12" t="str">
        <f aca="false">IF(A177="","",IFERROR(INDEX(Productos!$D$2:$D$1001,MATCH(A177,Productos!$A$2:$A$1001,0))&amp;" — "&amp;INDEX(Productos!$E$2:$E$1001,MATCH(A177,Productos!$A$2:$A$1001,0)),"SKU no existe en Productos"))</f>
        <v/>
      </c>
      <c r="C177" s="11"/>
      <c r="D177" s="11"/>
      <c r="E177" s="11"/>
      <c r="F177" s="12" t="str">
        <f aca="false">IF(A177="","",SUM(C177:E177))</f>
        <v/>
      </c>
      <c r="G177" s="16" t="str">
        <f aca="false">IF(A177="","",IFERROR(INDEX(Productos!$K$2:$K$1001,MATCH(A177,Productos!$A$2:$A$1001,0)),""))</f>
        <v/>
      </c>
      <c r="H177" s="16" t="str">
        <f aca="false">IF(OR(A177="",G177=""),"",F177*G177)</f>
        <v/>
      </c>
    </row>
    <row r="178" customFormat="false" ht="15" hidden="false" customHeight="false" outlineLevel="0" collapsed="false">
      <c r="A178" s="11"/>
      <c r="B178" s="12" t="str">
        <f aca="false">IF(A178="","",IFERROR(INDEX(Productos!$D$2:$D$1001,MATCH(A178,Productos!$A$2:$A$1001,0))&amp;" — "&amp;INDEX(Productos!$E$2:$E$1001,MATCH(A178,Productos!$A$2:$A$1001,0)),"SKU no existe en Productos"))</f>
        <v/>
      </c>
      <c r="C178" s="11"/>
      <c r="D178" s="11"/>
      <c r="E178" s="11"/>
      <c r="F178" s="12" t="str">
        <f aca="false">IF(A178="","",SUM(C178:E178))</f>
        <v/>
      </c>
      <c r="G178" s="16" t="str">
        <f aca="false">IF(A178="","",IFERROR(INDEX(Productos!$K$2:$K$1001,MATCH(A178,Productos!$A$2:$A$1001,0)),""))</f>
        <v/>
      </c>
      <c r="H178" s="16" t="str">
        <f aca="false">IF(OR(A178="",G178=""),"",F178*G178)</f>
        <v/>
      </c>
    </row>
    <row r="179" customFormat="false" ht="15" hidden="false" customHeight="false" outlineLevel="0" collapsed="false">
      <c r="A179" s="11"/>
      <c r="B179" s="12" t="str">
        <f aca="false">IF(A179="","",IFERROR(INDEX(Productos!$D$2:$D$1001,MATCH(A179,Productos!$A$2:$A$1001,0))&amp;" — "&amp;INDEX(Productos!$E$2:$E$1001,MATCH(A179,Productos!$A$2:$A$1001,0)),"SKU no existe en Productos"))</f>
        <v/>
      </c>
      <c r="C179" s="11"/>
      <c r="D179" s="11"/>
      <c r="E179" s="11"/>
      <c r="F179" s="12" t="str">
        <f aca="false">IF(A179="","",SUM(C179:E179))</f>
        <v/>
      </c>
      <c r="G179" s="16" t="str">
        <f aca="false">IF(A179="","",IFERROR(INDEX(Productos!$K$2:$K$1001,MATCH(A179,Productos!$A$2:$A$1001,0)),""))</f>
        <v/>
      </c>
      <c r="H179" s="16" t="str">
        <f aca="false">IF(OR(A179="",G179=""),"",F179*G179)</f>
        <v/>
      </c>
    </row>
    <row r="180" customFormat="false" ht="15" hidden="false" customHeight="false" outlineLevel="0" collapsed="false">
      <c r="A180" s="11"/>
      <c r="B180" s="12" t="str">
        <f aca="false">IF(A180="","",IFERROR(INDEX(Productos!$D$2:$D$1001,MATCH(A180,Productos!$A$2:$A$1001,0))&amp;" — "&amp;INDEX(Productos!$E$2:$E$1001,MATCH(A180,Productos!$A$2:$A$1001,0)),"SKU no existe en Productos"))</f>
        <v/>
      </c>
      <c r="C180" s="11"/>
      <c r="D180" s="11"/>
      <c r="E180" s="11"/>
      <c r="F180" s="12" t="str">
        <f aca="false">IF(A180="","",SUM(C180:E180))</f>
        <v/>
      </c>
      <c r="G180" s="16" t="str">
        <f aca="false">IF(A180="","",IFERROR(INDEX(Productos!$K$2:$K$1001,MATCH(A180,Productos!$A$2:$A$1001,0)),""))</f>
        <v/>
      </c>
      <c r="H180" s="16" t="str">
        <f aca="false">IF(OR(A180="",G180=""),"",F180*G180)</f>
        <v/>
      </c>
    </row>
    <row r="181" customFormat="false" ht="15" hidden="false" customHeight="false" outlineLevel="0" collapsed="false">
      <c r="A181" s="11"/>
      <c r="B181" s="12" t="str">
        <f aca="false">IF(A181="","",IFERROR(INDEX(Productos!$D$2:$D$1001,MATCH(A181,Productos!$A$2:$A$1001,0))&amp;" — "&amp;INDEX(Productos!$E$2:$E$1001,MATCH(A181,Productos!$A$2:$A$1001,0)),"SKU no existe en Productos"))</f>
        <v/>
      </c>
      <c r="C181" s="11"/>
      <c r="D181" s="11"/>
      <c r="E181" s="11"/>
      <c r="F181" s="12" t="str">
        <f aca="false">IF(A181="","",SUM(C181:E181))</f>
        <v/>
      </c>
      <c r="G181" s="16" t="str">
        <f aca="false">IF(A181="","",IFERROR(INDEX(Productos!$K$2:$K$1001,MATCH(A181,Productos!$A$2:$A$1001,0)),""))</f>
        <v/>
      </c>
      <c r="H181" s="16" t="str">
        <f aca="false">IF(OR(A181="",G181=""),"",F181*G181)</f>
        <v/>
      </c>
    </row>
    <row r="182" customFormat="false" ht="15" hidden="false" customHeight="false" outlineLevel="0" collapsed="false">
      <c r="A182" s="11"/>
      <c r="B182" s="12" t="str">
        <f aca="false">IF(A182="","",IFERROR(INDEX(Productos!$D$2:$D$1001,MATCH(A182,Productos!$A$2:$A$1001,0))&amp;" — "&amp;INDEX(Productos!$E$2:$E$1001,MATCH(A182,Productos!$A$2:$A$1001,0)),"SKU no existe en Productos"))</f>
        <v/>
      </c>
      <c r="C182" s="11"/>
      <c r="D182" s="11"/>
      <c r="E182" s="11"/>
      <c r="F182" s="12" t="str">
        <f aca="false">IF(A182="","",SUM(C182:E182))</f>
        <v/>
      </c>
      <c r="G182" s="16" t="str">
        <f aca="false">IF(A182="","",IFERROR(INDEX(Productos!$K$2:$K$1001,MATCH(A182,Productos!$A$2:$A$1001,0)),""))</f>
        <v/>
      </c>
      <c r="H182" s="16" t="str">
        <f aca="false">IF(OR(A182="",G182=""),"",F182*G182)</f>
        <v/>
      </c>
    </row>
    <row r="183" customFormat="false" ht="15" hidden="false" customHeight="false" outlineLevel="0" collapsed="false">
      <c r="A183" s="11"/>
      <c r="B183" s="12" t="str">
        <f aca="false">IF(A183="","",IFERROR(INDEX(Productos!$D$2:$D$1001,MATCH(A183,Productos!$A$2:$A$1001,0))&amp;" — "&amp;INDEX(Productos!$E$2:$E$1001,MATCH(A183,Productos!$A$2:$A$1001,0)),"SKU no existe en Productos"))</f>
        <v/>
      </c>
      <c r="C183" s="11"/>
      <c r="D183" s="11"/>
      <c r="E183" s="11"/>
      <c r="F183" s="12" t="str">
        <f aca="false">IF(A183="","",SUM(C183:E183))</f>
        <v/>
      </c>
      <c r="G183" s="16" t="str">
        <f aca="false">IF(A183="","",IFERROR(INDEX(Productos!$K$2:$K$1001,MATCH(A183,Productos!$A$2:$A$1001,0)),""))</f>
        <v/>
      </c>
      <c r="H183" s="16" t="str">
        <f aca="false">IF(OR(A183="",G183=""),"",F183*G183)</f>
        <v/>
      </c>
    </row>
    <row r="184" customFormat="false" ht="15" hidden="false" customHeight="false" outlineLevel="0" collapsed="false">
      <c r="A184" s="11"/>
      <c r="B184" s="12" t="str">
        <f aca="false">IF(A184="","",IFERROR(INDEX(Productos!$D$2:$D$1001,MATCH(A184,Productos!$A$2:$A$1001,0))&amp;" — "&amp;INDEX(Productos!$E$2:$E$1001,MATCH(A184,Productos!$A$2:$A$1001,0)),"SKU no existe en Productos"))</f>
        <v/>
      </c>
      <c r="C184" s="11"/>
      <c r="D184" s="11"/>
      <c r="E184" s="11"/>
      <c r="F184" s="12" t="str">
        <f aca="false">IF(A184="","",SUM(C184:E184))</f>
        <v/>
      </c>
      <c r="G184" s="16" t="str">
        <f aca="false">IF(A184="","",IFERROR(INDEX(Productos!$K$2:$K$1001,MATCH(A184,Productos!$A$2:$A$1001,0)),""))</f>
        <v/>
      </c>
      <c r="H184" s="16" t="str">
        <f aca="false">IF(OR(A184="",G184=""),"",F184*G184)</f>
        <v/>
      </c>
    </row>
    <row r="185" customFormat="false" ht="15" hidden="false" customHeight="false" outlineLevel="0" collapsed="false">
      <c r="A185" s="11"/>
      <c r="B185" s="12" t="str">
        <f aca="false">IF(A185="","",IFERROR(INDEX(Productos!$D$2:$D$1001,MATCH(A185,Productos!$A$2:$A$1001,0))&amp;" — "&amp;INDEX(Productos!$E$2:$E$1001,MATCH(A185,Productos!$A$2:$A$1001,0)),"SKU no existe en Productos"))</f>
        <v/>
      </c>
      <c r="C185" s="11"/>
      <c r="D185" s="11"/>
      <c r="E185" s="11"/>
      <c r="F185" s="12" t="str">
        <f aca="false">IF(A185="","",SUM(C185:E185))</f>
        <v/>
      </c>
      <c r="G185" s="16" t="str">
        <f aca="false">IF(A185="","",IFERROR(INDEX(Productos!$K$2:$K$1001,MATCH(A185,Productos!$A$2:$A$1001,0)),""))</f>
        <v/>
      </c>
      <c r="H185" s="16" t="str">
        <f aca="false">IF(OR(A185="",G185=""),"",F185*G185)</f>
        <v/>
      </c>
    </row>
    <row r="186" customFormat="false" ht="15" hidden="false" customHeight="false" outlineLevel="0" collapsed="false">
      <c r="A186" s="11"/>
      <c r="B186" s="12" t="str">
        <f aca="false">IF(A186="","",IFERROR(INDEX(Productos!$D$2:$D$1001,MATCH(A186,Productos!$A$2:$A$1001,0))&amp;" — "&amp;INDEX(Productos!$E$2:$E$1001,MATCH(A186,Productos!$A$2:$A$1001,0)),"SKU no existe en Productos"))</f>
        <v/>
      </c>
      <c r="C186" s="11"/>
      <c r="D186" s="11"/>
      <c r="E186" s="11"/>
      <c r="F186" s="12" t="str">
        <f aca="false">IF(A186="","",SUM(C186:E186))</f>
        <v/>
      </c>
      <c r="G186" s="16" t="str">
        <f aca="false">IF(A186="","",IFERROR(INDEX(Productos!$K$2:$K$1001,MATCH(A186,Productos!$A$2:$A$1001,0)),""))</f>
        <v/>
      </c>
      <c r="H186" s="16" t="str">
        <f aca="false">IF(OR(A186="",G186=""),"",F186*G186)</f>
        <v/>
      </c>
    </row>
    <row r="187" customFormat="false" ht="15" hidden="false" customHeight="false" outlineLevel="0" collapsed="false">
      <c r="A187" s="11"/>
      <c r="B187" s="12" t="str">
        <f aca="false">IF(A187="","",IFERROR(INDEX(Productos!$D$2:$D$1001,MATCH(A187,Productos!$A$2:$A$1001,0))&amp;" — "&amp;INDEX(Productos!$E$2:$E$1001,MATCH(A187,Productos!$A$2:$A$1001,0)),"SKU no existe en Productos"))</f>
        <v/>
      </c>
      <c r="C187" s="11"/>
      <c r="D187" s="11"/>
      <c r="E187" s="11"/>
      <c r="F187" s="12" t="str">
        <f aca="false">IF(A187="","",SUM(C187:E187))</f>
        <v/>
      </c>
      <c r="G187" s="16" t="str">
        <f aca="false">IF(A187="","",IFERROR(INDEX(Productos!$K$2:$K$1001,MATCH(A187,Productos!$A$2:$A$1001,0)),""))</f>
        <v/>
      </c>
      <c r="H187" s="16" t="str">
        <f aca="false">IF(OR(A187="",G187=""),"",F187*G187)</f>
        <v/>
      </c>
    </row>
    <row r="188" customFormat="false" ht="15" hidden="false" customHeight="false" outlineLevel="0" collapsed="false">
      <c r="A188" s="11"/>
      <c r="B188" s="12" t="str">
        <f aca="false">IF(A188="","",IFERROR(INDEX(Productos!$D$2:$D$1001,MATCH(A188,Productos!$A$2:$A$1001,0))&amp;" — "&amp;INDEX(Productos!$E$2:$E$1001,MATCH(A188,Productos!$A$2:$A$1001,0)),"SKU no existe en Productos"))</f>
        <v/>
      </c>
      <c r="C188" s="11"/>
      <c r="D188" s="11"/>
      <c r="E188" s="11"/>
      <c r="F188" s="12" t="str">
        <f aca="false">IF(A188="","",SUM(C188:E188))</f>
        <v/>
      </c>
      <c r="G188" s="16" t="str">
        <f aca="false">IF(A188="","",IFERROR(INDEX(Productos!$K$2:$K$1001,MATCH(A188,Productos!$A$2:$A$1001,0)),""))</f>
        <v/>
      </c>
      <c r="H188" s="16" t="str">
        <f aca="false">IF(OR(A188="",G188=""),"",F188*G188)</f>
        <v/>
      </c>
    </row>
    <row r="189" customFormat="false" ht="15" hidden="false" customHeight="false" outlineLevel="0" collapsed="false">
      <c r="A189" s="11"/>
      <c r="B189" s="12" t="str">
        <f aca="false">IF(A189="","",IFERROR(INDEX(Productos!$D$2:$D$1001,MATCH(A189,Productos!$A$2:$A$1001,0))&amp;" — "&amp;INDEX(Productos!$E$2:$E$1001,MATCH(A189,Productos!$A$2:$A$1001,0)),"SKU no existe en Productos"))</f>
        <v/>
      </c>
      <c r="C189" s="11"/>
      <c r="D189" s="11"/>
      <c r="E189" s="11"/>
      <c r="F189" s="12" t="str">
        <f aca="false">IF(A189="","",SUM(C189:E189))</f>
        <v/>
      </c>
      <c r="G189" s="16" t="str">
        <f aca="false">IF(A189="","",IFERROR(INDEX(Productos!$K$2:$K$1001,MATCH(A189,Productos!$A$2:$A$1001,0)),""))</f>
        <v/>
      </c>
      <c r="H189" s="16" t="str">
        <f aca="false">IF(OR(A189="",G189=""),"",F189*G189)</f>
        <v/>
      </c>
    </row>
    <row r="190" customFormat="false" ht="15" hidden="false" customHeight="false" outlineLevel="0" collapsed="false">
      <c r="A190" s="11"/>
      <c r="B190" s="12" t="str">
        <f aca="false">IF(A190="","",IFERROR(INDEX(Productos!$D$2:$D$1001,MATCH(A190,Productos!$A$2:$A$1001,0))&amp;" — "&amp;INDEX(Productos!$E$2:$E$1001,MATCH(A190,Productos!$A$2:$A$1001,0)),"SKU no existe en Productos"))</f>
        <v/>
      </c>
      <c r="C190" s="11"/>
      <c r="D190" s="11"/>
      <c r="E190" s="11"/>
      <c r="F190" s="12" t="str">
        <f aca="false">IF(A190="","",SUM(C190:E190))</f>
        <v/>
      </c>
      <c r="G190" s="16" t="str">
        <f aca="false">IF(A190="","",IFERROR(INDEX(Productos!$K$2:$K$1001,MATCH(A190,Productos!$A$2:$A$1001,0)),""))</f>
        <v/>
      </c>
      <c r="H190" s="16" t="str">
        <f aca="false">IF(OR(A190="",G190=""),"",F190*G190)</f>
        <v/>
      </c>
    </row>
    <row r="191" customFormat="false" ht="15" hidden="false" customHeight="false" outlineLevel="0" collapsed="false">
      <c r="A191" s="11"/>
      <c r="B191" s="12" t="str">
        <f aca="false">IF(A191="","",IFERROR(INDEX(Productos!$D$2:$D$1001,MATCH(A191,Productos!$A$2:$A$1001,0))&amp;" — "&amp;INDEX(Productos!$E$2:$E$1001,MATCH(A191,Productos!$A$2:$A$1001,0)),"SKU no existe en Productos"))</f>
        <v/>
      </c>
      <c r="C191" s="11"/>
      <c r="D191" s="11"/>
      <c r="E191" s="11"/>
      <c r="F191" s="12" t="str">
        <f aca="false">IF(A191="","",SUM(C191:E191))</f>
        <v/>
      </c>
      <c r="G191" s="16" t="str">
        <f aca="false">IF(A191="","",IFERROR(INDEX(Productos!$K$2:$K$1001,MATCH(A191,Productos!$A$2:$A$1001,0)),""))</f>
        <v/>
      </c>
      <c r="H191" s="16" t="str">
        <f aca="false">IF(OR(A191="",G191=""),"",F191*G191)</f>
        <v/>
      </c>
    </row>
    <row r="192" customFormat="false" ht="15" hidden="false" customHeight="false" outlineLevel="0" collapsed="false">
      <c r="A192" s="11"/>
      <c r="B192" s="12" t="str">
        <f aca="false">IF(A192="","",IFERROR(INDEX(Productos!$D$2:$D$1001,MATCH(A192,Productos!$A$2:$A$1001,0))&amp;" — "&amp;INDEX(Productos!$E$2:$E$1001,MATCH(A192,Productos!$A$2:$A$1001,0)),"SKU no existe en Productos"))</f>
        <v/>
      </c>
      <c r="C192" s="11"/>
      <c r="D192" s="11"/>
      <c r="E192" s="11"/>
      <c r="F192" s="12" t="str">
        <f aca="false">IF(A192="","",SUM(C192:E192))</f>
        <v/>
      </c>
      <c r="G192" s="16" t="str">
        <f aca="false">IF(A192="","",IFERROR(INDEX(Productos!$K$2:$K$1001,MATCH(A192,Productos!$A$2:$A$1001,0)),""))</f>
        <v/>
      </c>
      <c r="H192" s="16" t="str">
        <f aca="false">IF(OR(A192="",G192=""),"",F192*G192)</f>
        <v/>
      </c>
    </row>
    <row r="193" customFormat="false" ht="15" hidden="false" customHeight="false" outlineLevel="0" collapsed="false">
      <c r="A193" s="11"/>
      <c r="B193" s="12" t="str">
        <f aca="false">IF(A193="","",IFERROR(INDEX(Productos!$D$2:$D$1001,MATCH(A193,Productos!$A$2:$A$1001,0))&amp;" — "&amp;INDEX(Productos!$E$2:$E$1001,MATCH(A193,Productos!$A$2:$A$1001,0)),"SKU no existe en Productos"))</f>
        <v/>
      </c>
      <c r="C193" s="11"/>
      <c r="D193" s="11"/>
      <c r="E193" s="11"/>
      <c r="F193" s="12" t="str">
        <f aca="false">IF(A193="","",SUM(C193:E193))</f>
        <v/>
      </c>
      <c r="G193" s="16" t="str">
        <f aca="false">IF(A193="","",IFERROR(INDEX(Productos!$K$2:$K$1001,MATCH(A193,Productos!$A$2:$A$1001,0)),""))</f>
        <v/>
      </c>
      <c r="H193" s="16" t="str">
        <f aca="false">IF(OR(A193="",G193=""),"",F193*G193)</f>
        <v/>
      </c>
    </row>
    <row r="194" customFormat="false" ht="15" hidden="false" customHeight="false" outlineLevel="0" collapsed="false">
      <c r="A194" s="11"/>
      <c r="B194" s="12" t="str">
        <f aca="false">IF(A194="","",IFERROR(INDEX(Productos!$D$2:$D$1001,MATCH(A194,Productos!$A$2:$A$1001,0))&amp;" — "&amp;INDEX(Productos!$E$2:$E$1001,MATCH(A194,Productos!$A$2:$A$1001,0)),"SKU no existe en Productos"))</f>
        <v/>
      </c>
      <c r="C194" s="11"/>
      <c r="D194" s="11"/>
      <c r="E194" s="11"/>
      <c r="F194" s="12" t="str">
        <f aca="false">IF(A194="","",SUM(C194:E194))</f>
        <v/>
      </c>
      <c r="G194" s="16" t="str">
        <f aca="false">IF(A194="","",IFERROR(INDEX(Productos!$K$2:$K$1001,MATCH(A194,Productos!$A$2:$A$1001,0)),""))</f>
        <v/>
      </c>
      <c r="H194" s="16" t="str">
        <f aca="false">IF(OR(A194="",G194=""),"",F194*G194)</f>
        <v/>
      </c>
    </row>
    <row r="195" customFormat="false" ht="15" hidden="false" customHeight="false" outlineLevel="0" collapsed="false">
      <c r="A195" s="11"/>
      <c r="B195" s="12" t="str">
        <f aca="false">IF(A195="","",IFERROR(INDEX(Productos!$D$2:$D$1001,MATCH(A195,Productos!$A$2:$A$1001,0))&amp;" — "&amp;INDEX(Productos!$E$2:$E$1001,MATCH(A195,Productos!$A$2:$A$1001,0)),"SKU no existe en Productos"))</f>
        <v/>
      </c>
      <c r="C195" s="11"/>
      <c r="D195" s="11"/>
      <c r="E195" s="11"/>
      <c r="F195" s="12" t="str">
        <f aca="false">IF(A195="","",SUM(C195:E195))</f>
        <v/>
      </c>
      <c r="G195" s="16" t="str">
        <f aca="false">IF(A195="","",IFERROR(INDEX(Productos!$K$2:$K$1001,MATCH(A195,Productos!$A$2:$A$1001,0)),""))</f>
        <v/>
      </c>
      <c r="H195" s="16" t="str">
        <f aca="false">IF(OR(A195="",G195=""),"",F195*G195)</f>
        <v/>
      </c>
    </row>
    <row r="196" customFormat="false" ht="15" hidden="false" customHeight="false" outlineLevel="0" collapsed="false">
      <c r="A196" s="11"/>
      <c r="B196" s="12" t="str">
        <f aca="false">IF(A196="","",IFERROR(INDEX(Productos!$D$2:$D$1001,MATCH(A196,Productos!$A$2:$A$1001,0))&amp;" — "&amp;INDEX(Productos!$E$2:$E$1001,MATCH(A196,Productos!$A$2:$A$1001,0)),"SKU no existe en Productos"))</f>
        <v/>
      </c>
      <c r="C196" s="11"/>
      <c r="D196" s="11"/>
      <c r="E196" s="11"/>
      <c r="F196" s="12" t="str">
        <f aca="false">IF(A196="","",SUM(C196:E196))</f>
        <v/>
      </c>
      <c r="G196" s="16" t="str">
        <f aca="false">IF(A196="","",IFERROR(INDEX(Productos!$K$2:$K$1001,MATCH(A196,Productos!$A$2:$A$1001,0)),""))</f>
        <v/>
      </c>
      <c r="H196" s="16" t="str">
        <f aca="false">IF(OR(A196="",G196=""),"",F196*G196)</f>
        <v/>
      </c>
    </row>
    <row r="197" customFormat="false" ht="15" hidden="false" customHeight="false" outlineLevel="0" collapsed="false">
      <c r="A197" s="11"/>
      <c r="B197" s="12" t="str">
        <f aca="false">IF(A197="","",IFERROR(INDEX(Productos!$D$2:$D$1001,MATCH(A197,Productos!$A$2:$A$1001,0))&amp;" — "&amp;INDEX(Productos!$E$2:$E$1001,MATCH(A197,Productos!$A$2:$A$1001,0)),"SKU no existe en Productos"))</f>
        <v/>
      </c>
      <c r="C197" s="11"/>
      <c r="D197" s="11"/>
      <c r="E197" s="11"/>
      <c r="F197" s="12" t="str">
        <f aca="false">IF(A197="","",SUM(C197:E197))</f>
        <v/>
      </c>
      <c r="G197" s="16" t="str">
        <f aca="false">IF(A197="","",IFERROR(INDEX(Productos!$K$2:$K$1001,MATCH(A197,Productos!$A$2:$A$1001,0)),""))</f>
        <v/>
      </c>
      <c r="H197" s="16" t="str">
        <f aca="false">IF(OR(A197="",G197=""),"",F197*G197)</f>
        <v/>
      </c>
    </row>
    <row r="198" customFormat="false" ht="15" hidden="false" customHeight="false" outlineLevel="0" collapsed="false">
      <c r="A198" s="11"/>
      <c r="B198" s="12" t="str">
        <f aca="false">IF(A198="","",IFERROR(INDEX(Productos!$D$2:$D$1001,MATCH(A198,Productos!$A$2:$A$1001,0))&amp;" — "&amp;INDEX(Productos!$E$2:$E$1001,MATCH(A198,Productos!$A$2:$A$1001,0)),"SKU no existe en Productos"))</f>
        <v/>
      </c>
      <c r="C198" s="11"/>
      <c r="D198" s="11"/>
      <c r="E198" s="11"/>
      <c r="F198" s="12" t="str">
        <f aca="false">IF(A198="","",SUM(C198:E198))</f>
        <v/>
      </c>
      <c r="G198" s="16" t="str">
        <f aca="false">IF(A198="","",IFERROR(INDEX(Productos!$K$2:$K$1001,MATCH(A198,Productos!$A$2:$A$1001,0)),""))</f>
        <v/>
      </c>
      <c r="H198" s="16" t="str">
        <f aca="false">IF(OR(A198="",G198=""),"",F198*G198)</f>
        <v/>
      </c>
    </row>
    <row r="199" customFormat="false" ht="15" hidden="false" customHeight="false" outlineLevel="0" collapsed="false">
      <c r="A199" s="11"/>
      <c r="B199" s="12" t="str">
        <f aca="false">IF(A199="","",IFERROR(INDEX(Productos!$D$2:$D$1001,MATCH(A199,Productos!$A$2:$A$1001,0))&amp;" — "&amp;INDEX(Productos!$E$2:$E$1001,MATCH(A199,Productos!$A$2:$A$1001,0)),"SKU no existe en Productos"))</f>
        <v/>
      </c>
      <c r="C199" s="11"/>
      <c r="D199" s="11"/>
      <c r="E199" s="11"/>
      <c r="F199" s="12" t="str">
        <f aca="false">IF(A199="","",SUM(C199:E199))</f>
        <v/>
      </c>
      <c r="G199" s="16" t="str">
        <f aca="false">IF(A199="","",IFERROR(INDEX(Productos!$K$2:$K$1001,MATCH(A199,Productos!$A$2:$A$1001,0)),""))</f>
        <v/>
      </c>
      <c r="H199" s="16" t="str">
        <f aca="false">IF(OR(A199="",G199=""),"",F199*G199)</f>
        <v/>
      </c>
    </row>
    <row r="200" customFormat="false" ht="15" hidden="false" customHeight="false" outlineLevel="0" collapsed="false">
      <c r="A200" s="11"/>
      <c r="B200" s="12" t="str">
        <f aca="false">IF(A200="","",IFERROR(INDEX(Productos!$D$2:$D$1001,MATCH(A200,Productos!$A$2:$A$1001,0))&amp;" — "&amp;INDEX(Productos!$E$2:$E$1001,MATCH(A200,Productos!$A$2:$A$1001,0)),"SKU no existe en Productos"))</f>
        <v/>
      </c>
      <c r="C200" s="11"/>
      <c r="D200" s="11"/>
      <c r="E200" s="11"/>
      <c r="F200" s="12" t="str">
        <f aca="false">IF(A200="","",SUM(C200:E200))</f>
        <v/>
      </c>
      <c r="G200" s="16" t="str">
        <f aca="false">IF(A200="","",IFERROR(INDEX(Productos!$K$2:$K$1001,MATCH(A200,Productos!$A$2:$A$1001,0)),""))</f>
        <v/>
      </c>
      <c r="H200" s="16" t="str">
        <f aca="false">IF(OR(A200="",G200=""),"",F200*G200)</f>
        <v/>
      </c>
    </row>
    <row r="201" customFormat="false" ht="15" hidden="false" customHeight="false" outlineLevel="0" collapsed="false">
      <c r="A201" s="11"/>
      <c r="B201" s="12" t="str">
        <f aca="false">IF(A201="","",IFERROR(INDEX(Productos!$D$2:$D$1001,MATCH(A201,Productos!$A$2:$A$1001,0))&amp;" — "&amp;INDEX(Productos!$E$2:$E$1001,MATCH(A201,Productos!$A$2:$A$1001,0)),"SKU no existe en Productos"))</f>
        <v/>
      </c>
      <c r="C201" s="11"/>
      <c r="D201" s="11"/>
      <c r="E201" s="11"/>
      <c r="F201" s="12" t="str">
        <f aca="false">IF(A201="","",SUM(C201:E201))</f>
        <v/>
      </c>
      <c r="G201" s="16" t="str">
        <f aca="false">IF(A201="","",IFERROR(INDEX(Productos!$K$2:$K$1001,MATCH(A201,Productos!$A$2:$A$1001,0)),""))</f>
        <v/>
      </c>
      <c r="H201" s="16" t="str">
        <f aca="false">IF(OR(A201="",G201=""),"",F201*G201)</f>
        <v/>
      </c>
    </row>
    <row r="202" customFormat="false" ht="15" hidden="false" customHeight="false" outlineLevel="0" collapsed="false">
      <c r="A202" s="11"/>
      <c r="B202" s="12" t="str">
        <f aca="false">IF(A202="","",IFERROR(INDEX(Productos!$D$2:$D$1001,MATCH(A202,Productos!$A$2:$A$1001,0))&amp;" — "&amp;INDEX(Productos!$E$2:$E$1001,MATCH(A202,Productos!$A$2:$A$1001,0)),"SKU no existe en Productos"))</f>
        <v/>
      </c>
      <c r="C202" s="11"/>
      <c r="D202" s="11"/>
      <c r="E202" s="11"/>
      <c r="F202" s="12" t="str">
        <f aca="false">IF(A202="","",SUM(C202:E202))</f>
        <v/>
      </c>
      <c r="G202" s="16" t="str">
        <f aca="false">IF(A202="","",IFERROR(INDEX(Productos!$K$2:$K$1001,MATCH(A202,Productos!$A$2:$A$1001,0)),""))</f>
        <v/>
      </c>
      <c r="H202" s="16" t="str">
        <f aca="false">IF(OR(A202="",G202=""),"",F202*G202)</f>
        <v/>
      </c>
    </row>
    <row r="203" customFormat="false" ht="15" hidden="false" customHeight="false" outlineLevel="0" collapsed="false">
      <c r="A203" s="11"/>
      <c r="B203" s="12" t="str">
        <f aca="false">IF(A203="","",IFERROR(INDEX(Productos!$D$2:$D$1001,MATCH(A203,Productos!$A$2:$A$1001,0))&amp;" — "&amp;INDEX(Productos!$E$2:$E$1001,MATCH(A203,Productos!$A$2:$A$1001,0)),"SKU no existe en Productos"))</f>
        <v/>
      </c>
      <c r="C203" s="11"/>
      <c r="D203" s="11"/>
      <c r="E203" s="11"/>
      <c r="F203" s="12" t="str">
        <f aca="false">IF(A203="","",SUM(C203:E203))</f>
        <v/>
      </c>
      <c r="G203" s="16" t="str">
        <f aca="false">IF(A203="","",IFERROR(INDEX(Productos!$K$2:$K$1001,MATCH(A203,Productos!$A$2:$A$1001,0)),""))</f>
        <v/>
      </c>
      <c r="H203" s="16" t="str">
        <f aca="false">IF(OR(A203="",G203=""),"",F203*G203)</f>
        <v/>
      </c>
    </row>
    <row r="204" customFormat="false" ht="15" hidden="false" customHeight="false" outlineLevel="0" collapsed="false">
      <c r="A204" s="11"/>
      <c r="B204" s="12" t="str">
        <f aca="false">IF(A204="","",IFERROR(INDEX(Productos!$D$2:$D$1001,MATCH(A204,Productos!$A$2:$A$1001,0))&amp;" — "&amp;INDEX(Productos!$E$2:$E$1001,MATCH(A204,Productos!$A$2:$A$1001,0)),"SKU no existe en Productos"))</f>
        <v/>
      </c>
      <c r="C204" s="11"/>
      <c r="D204" s="11"/>
      <c r="E204" s="11"/>
      <c r="F204" s="12" t="str">
        <f aca="false">IF(A204="","",SUM(C204:E204))</f>
        <v/>
      </c>
      <c r="G204" s="16" t="str">
        <f aca="false">IF(A204="","",IFERROR(INDEX(Productos!$K$2:$K$1001,MATCH(A204,Productos!$A$2:$A$1001,0)),""))</f>
        <v/>
      </c>
      <c r="H204" s="16" t="str">
        <f aca="false">IF(OR(A204="",G204=""),"",F204*G204)</f>
        <v/>
      </c>
    </row>
    <row r="205" customFormat="false" ht="15" hidden="false" customHeight="false" outlineLevel="0" collapsed="false">
      <c r="A205" s="11"/>
      <c r="B205" s="12" t="str">
        <f aca="false">IF(A205="","",IFERROR(INDEX(Productos!$D$2:$D$1001,MATCH(A205,Productos!$A$2:$A$1001,0))&amp;" — "&amp;INDEX(Productos!$E$2:$E$1001,MATCH(A205,Productos!$A$2:$A$1001,0)),"SKU no existe en Productos"))</f>
        <v/>
      </c>
      <c r="C205" s="11"/>
      <c r="D205" s="11"/>
      <c r="E205" s="11"/>
      <c r="F205" s="12" t="str">
        <f aca="false">IF(A205="","",SUM(C205:E205))</f>
        <v/>
      </c>
      <c r="G205" s="16" t="str">
        <f aca="false">IF(A205="","",IFERROR(INDEX(Productos!$K$2:$K$1001,MATCH(A205,Productos!$A$2:$A$1001,0)),""))</f>
        <v/>
      </c>
      <c r="H205" s="16" t="str">
        <f aca="false">IF(OR(A205="",G205=""),"",F205*G205)</f>
        <v/>
      </c>
    </row>
    <row r="206" customFormat="false" ht="15" hidden="false" customHeight="false" outlineLevel="0" collapsed="false">
      <c r="A206" s="11"/>
      <c r="B206" s="12" t="str">
        <f aca="false">IF(A206="","",IFERROR(INDEX(Productos!$D$2:$D$1001,MATCH(A206,Productos!$A$2:$A$1001,0))&amp;" — "&amp;INDEX(Productos!$E$2:$E$1001,MATCH(A206,Productos!$A$2:$A$1001,0)),"SKU no existe en Productos"))</f>
        <v/>
      </c>
      <c r="C206" s="11"/>
      <c r="D206" s="11"/>
      <c r="E206" s="11"/>
      <c r="F206" s="12" t="str">
        <f aca="false">IF(A206="","",SUM(C206:E206))</f>
        <v/>
      </c>
      <c r="G206" s="16" t="str">
        <f aca="false">IF(A206="","",IFERROR(INDEX(Productos!$K$2:$K$1001,MATCH(A206,Productos!$A$2:$A$1001,0)),""))</f>
        <v/>
      </c>
      <c r="H206" s="16" t="str">
        <f aca="false">IF(OR(A206="",G206=""),"",F206*G206)</f>
        <v/>
      </c>
    </row>
    <row r="207" customFormat="false" ht="15" hidden="false" customHeight="false" outlineLevel="0" collapsed="false">
      <c r="A207" s="11"/>
      <c r="B207" s="12" t="str">
        <f aca="false">IF(A207="","",IFERROR(INDEX(Productos!$D$2:$D$1001,MATCH(A207,Productos!$A$2:$A$1001,0))&amp;" — "&amp;INDEX(Productos!$E$2:$E$1001,MATCH(A207,Productos!$A$2:$A$1001,0)),"SKU no existe en Productos"))</f>
        <v/>
      </c>
      <c r="C207" s="11"/>
      <c r="D207" s="11"/>
      <c r="E207" s="11"/>
      <c r="F207" s="12" t="str">
        <f aca="false">IF(A207="","",SUM(C207:E207))</f>
        <v/>
      </c>
      <c r="G207" s="16" t="str">
        <f aca="false">IF(A207="","",IFERROR(INDEX(Productos!$K$2:$K$1001,MATCH(A207,Productos!$A$2:$A$1001,0)),""))</f>
        <v/>
      </c>
      <c r="H207" s="16" t="str">
        <f aca="false">IF(OR(A207="",G207=""),"",F207*G207)</f>
        <v/>
      </c>
    </row>
    <row r="208" customFormat="false" ht="15" hidden="false" customHeight="false" outlineLevel="0" collapsed="false">
      <c r="A208" s="11"/>
      <c r="B208" s="12" t="str">
        <f aca="false">IF(A208="","",IFERROR(INDEX(Productos!$D$2:$D$1001,MATCH(A208,Productos!$A$2:$A$1001,0))&amp;" — "&amp;INDEX(Productos!$E$2:$E$1001,MATCH(A208,Productos!$A$2:$A$1001,0)),"SKU no existe en Productos"))</f>
        <v/>
      </c>
      <c r="C208" s="11"/>
      <c r="D208" s="11"/>
      <c r="E208" s="11"/>
      <c r="F208" s="12" t="str">
        <f aca="false">IF(A208="","",SUM(C208:E208))</f>
        <v/>
      </c>
      <c r="G208" s="16" t="str">
        <f aca="false">IF(A208="","",IFERROR(INDEX(Productos!$K$2:$K$1001,MATCH(A208,Productos!$A$2:$A$1001,0)),""))</f>
        <v/>
      </c>
      <c r="H208" s="16" t="str">
        <f aca="false">IF(OR(A208="",G208=""),"",F208*G208)</f>
        <v/>
      </c>
    </row>
    <row r="209" customFormat="false" ht="15" hidden="false" customHeight="false" outlineLevel="0" collapsed="false">
      <c r="A209" s="11"/>
      <c r="B209" s="12" t="str">
        <f aca="false">IF(A209="","",IFERROR(INDEX(Productos!$D$2:$D$1001,MATCH(A209,Productos!$A$2:$A$1001,0))&amp;" — "&amp;INDEX(Productos!$E$2:$E$1001,MATCH(A209,Productos!$A$2:$A$1001,0)),"SKU no existe en Productos"))</f>
        <v/>
      </c>
      <c r="C209" s="11"/>
      <c r="D209" s="11"/>
      <c r="E209" s="11"/>
      <c r="F209" s="12" t="str">
        <f aca="false">IF(A209="","",SUM(C209:E209))</f>
        <v/>
      </c>
      <c r="G209" s="16" t="str">
        <f aca="false">IF(A209="","",IFERROR(INDEX(Productos!$K$2:$K$1001,MATCH(A209,Productos!$A$2:$A$1001,0)),""))</f>
        <v/>
      </c>
      <c r="H209" s="16" t="str">
        <f aca="false">IF(OR(A209="",G209=""),"",F209*G209)</f>
        <v/>
      </c>
    </row>
    <row r="210" customFormat="false" ht="15" hidden="false" customHeight="false" outlineLevel="0" collapsed="false">
      <c r="A210" s="11"/>
      <c r="B210" s="12" t="str">
        <f aca="false">IF(A210="","",IFERROR(INDEX(Productos!$D$2:$D$1001,MATCH(A210,Productos!$A$2:$A$1001,0))&amp;" — "&amp;INDEX(Productos!$E$2:$E$1001,MATCH(A210,Productos!$A$2:$A$1001,0)),"SKU no existe en Productos"))</f>
        <v/>
      </c>
      <c r="C210" s="11"/>
      <c r="D210" s="11"/>
      <c r="E210" s="11"/>
      <c r="F210" s="12" t="str">
        <f aca="false">IF(A210="","",SUM(C210:E210))</f>
        <v/>
      </c>
      <c r="G210" s="16" t="str">
        <f aca="false">IF(A210="","",IFERROR(INDEX(Productos!$K$2:$K$1001,MATCH(A210,Productos!$A$2:$A$1001,0)),""))</f>
        <v/>
      </c>
      <c r="H210" s="16" t="str">
        <f aca="false">IF(OR(A210="",G210=""),"",F210*G210)</f>
        <v/>
      </c>
    </row>
    <row r="211" customFormat="false" ht="15" hidden="false" customHeight="false" outlineLevel="0" collapsed="false">
      <c r="A211" s="11"/>
      <c r="B211" s="12" t="str">
        <f aca="false">IF(A211="","",IFERROR(INDEX(Productos!$D$2:$D$1001,MATCH(A211,Productos!$A$2:$A$1001,0))&amp;" — "&amp;INDEX(Productos!$E$2:$E$1001,MATCH(A211,Productos!$A$2:$A$1001,0)),"SKU no existe en Productos"))</f>
        <v/>
      </c>
      <c r="C211" s="11"/>
      <c r="D211" s="11"/>
      <c r="E211" s="11"/>
      <c r="F211" s="12" t="str">
        <f aca="false">IF(A211="","",SUM(C211:E211))</f>
        <v/>
      </c>
      <c r="G211" s="16" t="str">
        <f aca="false">IF(A211="","",IFERROR(INDEX(Productos!$K$2:$K$1001,MATCH(A211,Productos!$A$2:$A$1001,0)),""))</f>
        <v/>
      </c>
      <c r="H211" s="16" t="str">
        <f aca="false">IF(OR(A211="",G211=""),"",F211*G211)</f>
        <v/>
      </c>
    </row>
    <row r="212" customFormat="false" ht="15" hidden="false" customHeight="false" outlineLevel="0" collapsed="false">
      <c r="A212" s="11"/>
      <c r="B212" s="12" t="str">
        <f aca="false">IF(A212="","",IFERROR(INDEX(Productos!$D$2:$D$1001,MATCH(A212,Productos!$A$2:$A$1001,0))&amp;" — "&amp;INDEX(Productos!$E$2:$E$1001,MATCH(A212,Productos!$A$2:$A$1001,0)),"SKU no existe en Productos"))</f>
        <v/>
      </c>
      <c r="C212" s="11"/>
      <c r="D212" s="11"/>
      <c r="E212" s="11"/>
      <c r="F212" s="12" t="str">
        <f aca="false">IF(A212="","",SUM(C212:E212))</f>
        <v/>
      </c>
      <c r="G212" s="16" t="str">
        <f aca="false">IF(A212="","",IFERROR(INDEX(Productos!$K$2:$K$1001,MATCH(A212,Productos!$A$2:$A$1001,0)),""))</f>
        <v/>
      </c>
      <c r="H212" s="16" t="str">
        <f aca="false">IF(OR(A212="",G212=""),"",F212*G212)</f>
        <v/>
      </c>
    </row>
    <row r="213" customFormat="false" ht="15" hidden="false" customHeight="false" outlineLevel="0" collapsed="false">
      <c r="A213" s="11"/>
      <c r="B213" s="12" t="str">
        <f aca="false">IF(A213="","",IFERROR(INDEX(Productos!$D$2:$D$1001,MATCH(A213,Productos!$A$2:$A$1001,0))&amp;" — "&amp;INDEX(Productos!$E$2:$E$1001,MATCH(A213,Productos!$A$2:$A$1001,0)),"SKU no existe en Productos"))</f>
        <v/>
      </c>
      <c r="C213" s="11"/>
      <c r="D213" s="11"/>
      <c r="E213" s="11"/>
      <c r="F213" s="12" t="str">
        <f aca="false">IF(A213="","",SUM(C213:E213))</f>
        <v/>
      </c>
      <c r="G213" s="16" t="str">
        <f aca="false">IF(A213="","",IFERROR(INDEX(Productos!$K$2:$K$1001,MATCH(A213,Productos!$A$2:$A$1001,0)),""))</f>
        <v/>
      </c>
      <c r="H213" s="16" t="str">
        <f aca="false">IF(OR(A213="",G213=""),"",F213*G213)</f>
        <v/>
      </c>
    </row>
    <row r="214" customFormat="false" ht="15" hidden="false" customHeight="false" outlineLevel="0" collapsed="false">
      <c r="A214" s="11"/>
      <c r="B214" s="12" t="str">
        <f aca="false">IF(A214="","",IFERROR(INDEX(Productos!$D$2:$D$1001,MATCH(A214,Productos!$A$2:$A$1001,0))&amp;" — "&amp;INDEX(Productos!$E$2:$E$1001,MATCH(A214,Productos!$A$2:$A$1001,0)),"SKU no existe en Productos"))</f>
        <v/>
      </c>
      <c r="C214" s="11"/>
      <c r="D214" s="11"/>
      <c r="E214" s="11"/>
      <c r="F214" s="12" t="str">
        <f aca="false">IF(A214="","",SUM(C214:E214))</f>
        <v/>
      </c>
      <c r="G214" s="16" t="str">
        <f aca="false">IF(A214="","",IFERROR(INDEX(Productos!$K$2:$K$1001,MATCH(A214,Productos!$A$2:$A$1001,0)),""))</f>
        <v/>
      </c>
      <c r="H214" s="16" t="str">
        <f aca="false">IF(OR(A214="",G214=""),"",F214*G214)</f>
        <v/>
      </c>
    </row>
    <row r="215" customFormat="false" ht="15" hidden="false" customHeight="false" outlineLevel="0" collapsed="false">
      <c r="A215" s="11"/>
      <c r="B215" s="12" t="str">
        <f aca="false">IF(A215="","",IFERROR(INDEX(Productos!$D$2:$D$1001,MATCH(A215,Productos!$A$2:$A$1001,0))&amp;" — "&amp;INDEX(Productos!$E$2:$E$1001,MATCH(A215,Productos!$A$2:$A$1001,0)),"SKU no existe en Productos"))</f>
        <v/>
      </c>
      <c r="C215" s="11"/>
      <c r="D215" s="11"/>
      <c r="E215" s="11"/>
      <c r="F215" s="12" t="str">
        <f aca="false">IF(A215="","",SUM(C215:E215))</f>
        <v/>
      </c>
      <c r="G215" s="16" t="str">
        <f aca="false">IF(A215="","",IFERROR(INDEX(Productos!$K$2:$K$1001,MATCH(A215,Productos!$A$2:$A$1001,0)),""))</f>
        <v/>
      </c>
      <c r="H215" s="16" t="str">
        <f aca="false">IF(OR(A215="",G215=""),"",F215*G215)</f>
        <v/>
      </c>
    </row>
    <row r="216" customFormat="false" ht="15" hidden="false" customHeight="false" outlineLevel="0" collapsed="false">
      <c r="A216" s="11"/>
      <c r="B216" s="12" t="str">
        <f aca="false">IF(A216="","",IFERROR(INDEX(Productos!$D$2:$D$1001,MATCH(A216,Productos!$A$2:$A$1001,0))&amp;" — "&amp;INDEX(Productos!$E$2:$E$1001,MATCH(A216,Productos!$A$2:$A$1001,0)),"SKU no existe en Productos"))</f>
        <v/>
      </c>
      <c r="C216" s="11"/>
      <c r="D216" s="11"/>
      <c r="E216" s="11"/>
      <c r="F216" s="12" t="str">
        <f aca="false">IF(A216="","",SUM(C216:E216))</f>
        <v/>
      </c>
      <c r="G216" s="16" t="str">
        <f aca="false">IF(A216="","",IFERROR(INDEX(Productos!$K$2:$K$1001,MATCH(A216,Productos!$A$2:$A$1001,0)),""))</f>
        <v/>
      </c>
      <c r="H216" s="16" t="str">
        <f aca="false">IF(OR(A216="",G216=""),"",F216*G216)</f>
        <v/>
      </c>
    </row>
    <row r="217" customFormat="false" ht="15" hidden="false" customHeight="false" outlineLevel="0" collapsed="false">
      <c r="A217" s="11"/>
      <c r="B217" s="12" t="str">
        <f aca="false">IF(A217="","",IFERROR(INDEX(Productos!$D$2:$D$1001,MATCH(A217,Productos!$A$2:$A$1001,0))&amp;" — "&amp;INDEX(Productos!$E$2:$E$1001,MATCH(A217,Productos!$A$2:$A$1001,0)),"SKU no existe en Productos"))</f>
        <v/>
      </c>
      <c r="C217" s="11"/>
      <c r="D217" s="11"/>
      <c r="E217" s="11"/>
      <c r="F217" s="12" t="str">
        <f aca="false">IF(A217="","",SUM(C217:E217))</f>
        <v/>
      </c>
      <c r="G217" s="16" t="str">
        <f aca="false">IF(A217="","",IFERROR(INDEX(Productos!$K$2:$K$1001,MATCH(A217,Productos!$A$2:$A$1001,0)),""))</f>
        <v/>
      </c>
      <c r="H217" s="16" t="str">
        <f aca="false">IF(OR(A217="",G217=""),"",F217*G217)</f>
        <v/>
      </c>
    </row>
    <row r="218" customFormat="false" ht="15" hidden="false" customHeight="false" outlineLevel="0" collapsed="false">
      <c r="A218" s="11"/>
      <c r="B218" s="12" t="str">
        <f aca="false">IF(A218="","",IFERROR(INDEX(Productos!$D$2:$D$1001,MATCH(A218,Productos!$A$2:$A$1001,0))&amp;" — "&amp;INDEX(Productos!$E$2:$E$1001,MATCH(A218,Productos!$A$2:$A$1001,0)),"SKU no existe en Productos"))</f>
        <v/>
      </c>
      <c r="C218" s="11"/>
      <c r="D218" s="11"/>
      <c r="E218" s="11"/>
      <c r="F218" s="12" t="str">
        <f aca="false">IF(A218="","",SUM(C218:E218))</f>
        <v/>
      </c>
      <c r="G218" s="16" t="str">
        <f aca="false">IF(A218="","",IFERROR(INDEX(Productos!$K$2:$K$1001,MATCH(A218,Productos!$A$2:$A$1001,0)),""))</f>
        <v/>
      </c>
      <c r="H218" s="16" t="str">
        <f aca="false">IF(OR(A218="",G218=""),"",F218*G218)</f>
        <v/>
      </c>
    </row>
    <row r="219" customFormat="false" ht="15" hidden="false" customHeight="false" outlineLevel="0" collapsed="false">
      <c r="A219" s="11"/>
      <c r="B219" s="12" t="str">
        <f aca="false">IF(A219="","",IFERROR(INDEX(Productos!$D$2:$D$1001,MATCH(A219,Productos!$A$2:$A$1001,0))&amp;" — "&amp;INDEX(Productos!$E$2:$E$1001,MATCH(A219,Productos!$A$2:$A$1001,0)),"SKU no existe en Productos"))</f>
        <v/>
      </c>
      <c r="C219" s="11"/>
      <c r="D219" s="11"/>
      <c r="E219" s="11"/>
      <c r="F219" s="12" t="str">
        <f aca="false">IF(A219="","",SUM(C219:E219))</f>
        <v/>
      </c>
      <c r="G219" s="16" t="str">
        <f aca="false">IF(A219="","",IFERROR(INDEX(Productos!$K$2:$K$1001,MATCH(A219,Productos!$A$2:$A$1001,0)),""))</f>
        <v/>
      </c>
      <c r="H219" s="16" t="str">
        <f aca="false">IF(OR(A219="",G219=""),"",F219*G219)</f>
        <v/>
      </c>
    </row>
    <row r="220" customFormat="false" ht="15" hidden="false" customHeight="false" outlineLevel="0" collapsed="false">
      <c r="A220" s="11"/>
      <c r="B220" s="12" t="str">
        <f aca="false">IF(A220="","",IFERROR(INDEX(Productos!$D$2:$D$1001,MATCH(A220,Productos!$A$2:$A$1001,0))&amp;" — "&amp;INDEX(Productos!$E$2:$E$1001,MATCH(A220,Productos!$A$2:$A$1001,0)),"SKU no existe en Productos"))</f>
        <v/>
      </c>
      <c r="C220" s="11"/>
      <c r="D220" s="11"/>
      <c r="E220" s="11"/>
      <c r="F220" s="12" t="str">
        <f aca="false">IF(A220="","",SUM(C220:E220))</f>
        <v/>
      </c>
      <c r="G220" s="16" t="str">
        <f aca="false">IF(A220="","",IFERROR(INDEX(Productos!$K$2:$K$1001,MATCH(A220,Productos!$A$2:$A$1001,0)),""))</f>
        <v/>
      </c>
      <c r="H220" s="16" t="str">
        <f aca="false">IF(OR(A220="",G220=""),"",F220*G220)</f>
        <v/>
      </c>
    </row>
    <row r="221" customFormat="false" ht="15" hidden="false" customHeight="false" outlineLevel="0" collapsed="false">
      <c r="A221" s="11"/>
      <c r="B221" s="12" t="str">
        <f aca="false">IF(A221="","",IFERROR(INDEX(Productos!$D$2:$D$1001,MATCH(A221,Productos!$A$2:$A$1001,0))&amp;" — "&amp;INDEX(Productos!$E$2:$E$1001,MATCH(A221,Productos!$A$2:$A$1001,0)),"SKU no existe en Productos"))</f>
        <v/>
      </c>
      <c r="C221" s="11"/>
      <c r="D221" s="11"/>
      <c r="E221" s="11"/>
      <c r="F221" s="12" t="str">
        <f aca="false">IF(A221="","",SUM(C221:E221))</f>
        <v/>
      </c>
      <c r="G221" s="16" t="str">
        <f aca="false">IF(A221="","",IFERROR(INDEX(Productos!$K$2:$K$1001,MATCH(A221,Productos!$A$2:$A$1001,0)),""))</f>
        <v/>
      </c>
      <c r="H221" s="16" t="str">
        <f aca="false">IF(OR(A221="",G221=""),"",F221*G221)</f>
        <v/>
      </c>
    </row>
    <row r="222" customFormat="false" ht="15" hidden="false" customHeight="false" outlineLevel="0" collapsed="false">
      <c r="A222" s="11"/>
      <c r="B222" s="12" t="str">
        <f aca="false">IF(A222="","",IFERROR(INDEX(Productos!$D$2:$D$1001,MATCH(A222,Productos!$A$2:$A$1001,0))&amp;" — "&amp;INDEX(Productos!$E$2:$E$1001,MATCH(A222,Productos!$A$2:$A$1001,0)),"SKU no existe en Productos"))</f>
        <v/>
      </c>
      <c r="C222" s="11"/>
      <c r="D222" s="11"/>
      <c r="E222" s="11"/>
      <c r="F222" s="12" t="str">
        <f aca="false">IF(A222="","",SUM(C222:E222))</f>
        <v/>
      </c>
      <c r="G222" s="16" t="str">
        <f aca="false">IF(A222="","",IFERROR(INDEX(Productos!$K$2:$K$1001,MATCH(A222,Productos!$A$2:$A$1001,0)),""))</f>
        <v/>
      </c>
      <c r="H222" s="16" t="str">
        <f aca="false">IF(OR(A222="",G222=""),"",F222*G222)</f>
        <v/>
      </c>
    </row>
    <row r="223" customFormat="false" ht="15" hidden="false" customHeight="false" outlineLevel="0" collapsed="false">
      <c r="A223" s="11"/>
      <c r="B223" s="12" t="str">
        <f aca="false">IF(A223="","",IFERROR(INDEX(Productos!$D$2:$D$1001,MATCH(A223,Productos!$A$2:$A$1001,0))&amp;" — "&amp;INDEX(Productos!$E$2:$E$1001,MATCH(A223,Productos!$A$2:$A$1001,0)),"SKU no existe en Productos"))</f>
        <v/>
      </c>
      <c r="C223" s="11"/>
      <c r="D223" s="11"/>
      <c r="E223" s="11"/>
      <c r="F223" s="12" t="str">
        <f aca="false">IF(A223="","",SUM(C223:E223))</f>
        <v/>
      </c>
      <c r="G223" s="16" t="str">
        <f aca="false">IF(A223="","",IFERROR(INDEX(Productos!$K$2:$K$1001,MATCH(A223,Productos!$A$2:$A$1001,0)),""))</f>
        <v/>
      </c>
      <c r="H223" s="16" t="str">
        <f aca="false">IF(OR(A223="",G223=""),"",F223*G223)</f>
        <v/>
      </c>
    </row>
    <row r="224" customFormat="false" ht="15" hidden="false" customHeight="false" outlineLevel="0" collapsed="false">
      <c r="A224" s="11"/>
      <c r="B224" s="12" t="str">
        <f aca="false">IF(A224="","",IFERROR(INDEX(Productos!$D$2:$D$1001,MATCH(A224,Productos!$A$2:$A$1001,0))&amp;" — "&amp;INDEX(Productos!$E$2:$E$1001,MATCH(A224,Productos!$A$2:$A$1001,0)),"SKU no existe en Productos"))</f>
        <v/>
      </c>
      <c r="C224" s="11"/>
      <c r="D224" s="11"/>
      <c r="E224" s="11"/>
      <c r="F224" s="12" t="str">
        <f aca="false">IF(A224="","",SUM(C224:E224))</f>
        <v/>
      </c>
      <c r="G224" s="16" t="str">
        <f aca="false">IF(A224="","",IFERROR(INDEX(Productos!$K$2:$K$1001,MATCH(A224,Productos!$A$2:$A$1001,0)),""))</f>
        <v/>
      </c>
      <c r="H224" s="16" t="str">
        <f aca="false">IF(OR(A224="",G224=""),"",F224*G224)</f>
        <v/>
      </c>
    </row>
    <row r="225" customFormat="false" ht="15" hidden="false" customHeight="false" outlineLevel="0" collapsed="false">
      <c r="A225" s="11"/>
      <c r="B225" s="12" t="str">
        <f aca="false">IF(A225="","",IFERROR(INDEX(Productos!$D$2:$D$1001,MATCH(A225,Productos!$A$2:$A$1001,0))&amp;" — "&amp;INDEX(Productos!$E$2:$E$1001,MATCH(A225,Productos!$A$2:$A$1001,0)),"SKU no existe en Productos"))</f>
        <v/>
      </c>
      <c r="C225" s="11"/>
      <c r="D225" s="11"/>
      <c r="E225" s="11"/>
      <c r="F225" s="12" t="str">
        <f aca="false">IF(A225="","",SUM(C225:E225))</f>
        <v/>
      </c>
      <c r="G225" s="16" t="str">
        <f aca="false">IF(A225="","",IFERROR(INDEX(Productos!$K$2:$K$1001,MATCH(A225,Productos!$A$2:$A$1001,0)),""))</f>
        <v/>
      </c>
      <c r="H225" s="16" t="str">
        <f aca="false">IF(OR(A225="",G225=""),"",F225*G225)</f>
        <v/>
      </c>
    </row>
    <row r="226" customFormat="false" ht="15" hidden="false" customHeight="false" outlineLevel="0" collapsed="false">
      <c r="A226" s="11"/>
      <c r="B226" s="12" t="str">
        <f aca="false">IF(A226="","",IFERROR(INDEX(Productos!$D$2:$D$1001,MATCH(A226,Productos!$A$2:$A$1001,0))&amp;" — "&amp;INDEX(Productos!$E$2:$E$1001,MATCH(A226,Productos!$A$2:$A$1001,0)),"SKU no existe en Productos"))</f>
        <v/>
      </c>
      <c r="C226" s="11"/>
      <c r="D226" s="11"/>
      <c r="E226" s="11"/>
      <c r="F226" s="12" t="str">
        <f aca="false">IF(A226="","",SUM(C226:E226))</f>
        <v/>
      </c>
      <c r="G226" s="16" t="str">
        <f aca="false">IF(A226="","",IFERROR(INDEX(Productos!$K$2:$K$1001,MATCH(A226,Productos!$A$2:$A$1001,0)),""))</f>
        <v/>
      </c>
      <c r="H226" s="16" t="str">
        <f aca="false">IF(OR(A226="",G226=""),"",F226*G226)</f>
        <v/>
      </c>
    </row>
    <row r="227" customFormat="false" ht="15" hidden="false" customHeight="false" outlineLevel="0" collapsed="false">
      <c r="A227" s="11"/>
      <c r="B227" s="12" t="str">
        <f aca="false">IF(A227="","",IFERROR(INDEX(Productos!$D$2:$D$1001,MATCH(A227,Productos!$A$2:$A$1001,0))&amp;" — "&amp;INDEX(Productos!$E$2:$E$1001,MATCH(A227,Productos!$A$2:$A$1001,0)),"SKU no existe en Productos"))</f>
        <v/>
      </c>
      <c r="C227" s="11"/>
      <c r="D227" s="11"/>
      <c r="E227" s="11"/>
      <c r="F227" s="12" t="str">
        <f aca="false">IF(A227="","",SUM(C227:E227))</f>
        <v/>
      </c>
      <c r="G227" s="16" t="str">
        <f aca="false">IF(A227="","",IFERROR(INDEX(Productos!$K$2:$K$1001,MATCH(A227,Productos!$A$2:$A$1001,0)),""))</f>
        <v/>
      </c>
      <c r="H227" s="16" t="str">
        <f aca="false">IF(OR(A227="",G227=""),"",F227*G227)</f>
        <v/>
      </c>
    </row>
    <row r="228" customFormat="false" ht="15" hidden="false" customHeight="false" outlineLevel="0" collapsed="false">
      <c r="A228" s="11"/>
      <c r="B228" s="12" t="str">
        <f aca="false">IF(A228="","",IFERROR(INDEX(Productos!$D$2:$D$1001,MATCH(A228,Productos!$A$2:$A$1001,0))&amp;" — "&amp;INDEX(Productos!$E$2:$E$1001,MATCH(A228,Productos!$A$2:$A$1001,0)),"SKU no existe en Productos"))</f>
        <v/>
      </c>
      <c r="C228" s="11"/>
      <c r="D228" s="11"/>
      <c r="E228" s="11"/>
      <c r="F228" s="12" t="str">
        <f aca="false">IF(A228="","",SUM(C228:E228))</f>
        <v/>
      </c>
      <c r="G228" s="16" t="str">
        <f aca="false">IF(A228="","",IFERROR(INDEX(Productos!$K$2:$K$1001,MATCH(A228,Productos!$A$2:$A$1001,0)),""))</f>
        <v/>
      </c>
      <c r="H228" s="16" t="str">
        <f aca="false">IF(OR(A228="",G228=""),"",F228*G228)</f>
        <v/>
      </c>
    </row>
    <row r="229" customFormat="false" ht="15" hidden="false" customHeight="false" outlineLevel="0" collapsed="false">
      <c r="A229" s="11"/>
      <c r="B229" s="12" t="str">
        <f aca="false">IF(A229="","",IFERROR(INDEX(Productos!$D$2:$D$1001,MATCH(A229,Productos!$A$2:$A$1001,0))&amp;" — "&amp;INDEX(Productos!$E$2:$E$1001,MATCH(A229,Productos!$A$2:$A$1001,0)),"SKU no existe en Productos"))</f>
        <v/>
      </c>
      <c r="C229" s="11"/>
      <c r="D229" s="11"/>
      <c r="E229" s="11"/>
      <c r="F229" s="12" t="str">
        <f aca="false">IF(A229="","",SUM(C229:E229))</f>
        <v/>
      </c>
      <c r="G229" s="16" t="str">
        <f aca="false">IF(A229="","",IFERROR(INDEX(Productos!$K$2:$K$1001,MATCH(A229,Productos!$A$2:$A$1001,0)),""))</f>
        <v/>
      </c>
      <c r="H229" s="16" t="str">
        <f aca="false">IF(OR(A229="",G229=""),"",F229*G229)</f>
        <v/>
      </c>
    </row>
    <row r="230" customFormat="false" ht="15" hidden="false" customHeight="false" outlineLevel="0" collapsed="false">
      <c r="A230" s="11"/>
      <c r="B230" s="12" t="str">
        <f aca="false">IF(A230="","",IFERROR(INDEX(Productos!$D$2:$D$1001,MATCH(A230,Productos!$A$2:$A$1001,0))&amp;" — "&amp;INDEX(Productos!$E$2:$E$1001,MATCH(A230,Productos!$A$2:$A$1001,0)),"SKU no existe en Productos"))</f>
        <v/>
      </c>
      <c r="C230" s="11"/>
      <c r="D230" s="11"/>
      <c r="E230" s="11"/>
      <c r="F230" s="12" t="str">
        <f aca="false">IF(A230="","",SUM(C230:E230))</f>
        <v/>
      </c>
      <c r="G230" s="16" t="str">
        <f aca="false">IF(A230="","",IFERROR(INDEX(Productos!$K$2:$K$1001,MATCH(A230,Productos!$A$2:$A$1001,0)),""))</f>
        <v/>
      </c>
      <c r="H230" s="16" t="str">
        <f aca="false">IF(OR(A230="",G230=""),"",F230*G230)</f>
        <v/>
      </c>
    </row>
    <row r="231" customFormat="false" ht="15" hidden="false" customHeight="false" outlineLevel="0" collapsed="false">
      <c r="A231" s="11"/>
      <c r="B231" s="12" t="str">
        <f aca="false">IF(A231="","",IFERROR(INDEX(Productos!$D$2:$D$1001,MATCH(A231,Productos!$A$2:$A$1001,0))&amp;" — "&amp;INDEX(Productos!$E$2:$E$1001,MATCH(A231,Productos!$A$2:$A$1001,0)),"SKU no existe en Productos"))</f>
        <v/>
      </c>
      <c r="C231" s="11"/>
      <c r="D231" s="11"/>
      <c r="E231" s="11"/>
      <c r="F231" s="12" t="str">
        <f aca="false">IF(A231="","",SUM(C231:E231))</f>
        <v/>
      </c>
      <c r="G231" s="16" t="str">
        <f aca="false">IF(A231="","",IFERROR(INDEX(Productos!$K$2:$K$1001,MATCH(A231,Productos!$A$2:$A$1001,0)),""))</f>
        <v/>
      </c>
      <c r="H231" s="16" t="str">
        <f aca="false">IF(OR(A231="",G231=""),"",F231*G231)</f>
        <v/>
      </c>
    </row>
    <row r="232" customFormat="false" ht="15" hidden="false" customHeight="false" outlineLevel="0" collapsed="false">
      <c r="A232" s="11"/>
      <c r="B232" s="12" t="str">
        <f aca="false">IF(A232="","",IFERROR(INDEX(Productos!$D$2:$D$1001,MATCH(A232,Productos!$A$2:$A$1001,0))&amp;" — "&amp;INDEX(Productos!$E$2:$E$1001,MATCH(A232,Productos!$A$2:$A$1001,0)),"SKU no existe en Productos"))</f>
        <v/>
      </c>
      <c r="C232" s="11"/>
      <c r="D232" s="11"/>
      <c r="E232" s="11"/>
      <c r="F232" s="12" t="str">
        <f aca="false">IF(A232="","",SUM(C232:E232))</f>
        <v/>
      </c>
      <c r="G232" s="16" t="str">
        <f aca="false">IF(A232="","",IFERROR(INDEX(Productos!$K$2:$K$1001,MATCH(A232,Productos!$A$2:$A$1001,0)),""))</f>
        <v/>
      </c>
      <c r="H232" s="16" t="str">
        <f aca="false">IF(OR(A232="",G232=""),"",F232*G232)</f>
        <v/>
      </c>
    </row>
    <row r="233" customFormat="false" ht="15" hidden="false" customHeight="false" outlineLevel="0" collapsed="false">
      <c r="A233" s="11"/>
      <c r="B233" s="12" t="str">
        <f aca="false">IF(A233="","",IFERROR(INDEX(Productos!$D$2:$D$1001,MATCH(A233,Productos!$A$2:$A$1001,0))&amp;" — "&amp;INDEX(Productos!$E$2:$E$1001,MATCH(A233,Productos!$A$2:$A$1001,0)),"SKU no existe en Productos"))</f>
        <v/>
      </c>
      <c r="C233" s="11"/>
      <c r="D233" s="11"/>
      <c r="E233" s="11"/>
      <c r="F233" s="12" t="str">
        <f aca="false">IF(A233="","",SUM(C233:E233))</f>
        <v/>
      </c>
      <c r="G233" s="16" t="str">
        <f aca="false">IF(A233="","",IFERROR(INDEX(Productos!$K$2:$K$1001,MATCH(A233,Productos!$A$2:$A$1001,0)),""))</f>
        <v/>
      </c>
      <c r="H233" s="16" t="str">
        <f aca="false">IF(OR(A233="",G233=""),"",F233*G233)</f>
        <v/>
      </c>
    </row>
    <row r="234" customFormat="false" ht="15" hidden="false" customHeight="false" outlineLevel="0" collapsed="false">
      <c r="A234" s="11"/>
      <c r="B234" s="12" t="str">
        <f aca="false">IF(A234="","",IFERROR(INDEX(Productos!$D$2:$D$1001,MATCH(A234,Productos!$A$2:$A$1001,0))&amp;" — "&amp;INDEX(Productos!$E$2:$E$1001,MATCH(A234,Productos!$A$2:$A$1001,0)),"SKU no existe en Productos"))</f>
        <v/>
      </c>
      <c r="C234" s="11"/>
      <c r="D234" s="11"/>
      <c r="E234" s="11"/>
      <c r="F234" s="12" t="str">
        <f aca="false">IF(A234="","",SUM(C234:E234))</f>
        <v/>
      </c>
      <c r="G234" s="16" t="str">
        <f aca="false">IF(A234="","",IFERROR(INDEX(Productos!$K$2:$K$1001,MATCH(A234,Productos!$A$2:$A$1001,0)),""))</f>
        <v/>
      </c>
      <c r="H234" s="16" t="str">
        <f aca="false">IF(OR(A234="",G234=""),"",F234*G234)</f>
        <v/>
      </c>
    </row>
    <row r="235" customFormat="false" ht="15" hidden="false" customHeight="false" outlineLevel="0" collapsed="false">
      <c r="A235" s="11"/>
      <c r="B235" s="12" t="str">
        <f aca="false">IF(A235="","",IFERROR(INDEX(Productos!$D$2:$D$1001,MATCH(A235,Productos!$A$2:$A$1001,0))&amp;" — "&amp;INDEX(Productos!$E$2:$E$1001,MATCH(A235,Productos!$A$2:$A$1001,0)),"SKU no existe en Productos"))</f>
        <v/>
      </c>
      <c r="C235" s="11"/>
      <c r="D235" s="11"/>
      <c r="E235" s="11"/>
      <c r="F235" s="12" t="str">
        <f aca="false">IF(A235="","",SUM(C235:E235))</f>
        <v/>
      </c>
      <c r="G235" s="16" t="str">
        <f aca="false">IF(A235="","",IFERROR(INDEX(Productos!$K$2:$K$1001,MATCH(A235,Productos!$A$2:$A$1001,0)),""))</f>
        <v/>
      </c>
      <c r="H235" s="16" t="str">
        <f aca="false">IF(OR(A235="",G235=""),"",F235*G235)</f>
        <v/>
      </c>
    </row>
    <row r="236" customFormat="false" ht="15" hidden="false" customHeight="false" outlineLevel="0" collapsed="false">
      <c r="A236" s="11"/>
      <c r="B236" s="12" t="str">
        <f aca="false">IF(A236="","",IFERROR(INDEX(Productos!$D$2:$D$1001,MATCH(A236,Productos!$A$2:$A$1001,0))&amp;" — "&amp;INDEX(Productos!$E$2:$E$1001,MATCH(A236,Productos!$A$2:$A$1001,0)),"SKU no existe en Productos"))</f>
        <v/>
      </c>
      <c r="C236" s="11"/>
      <c r="D236" s="11"/>
      <c r="E236" s="11"/>
      <c r="F236" s="12" t="str">
        <f aca="false">IF(A236="","",SUM(C236:E236))</f>
        <v/>
      </c>
      <c r="G236" s="16" t="str">
        <f aca="false">IF(A236="","",IFERROR(INDEX(Productos!$K$2:$K$1001,MATCH(A236,Productos!$A$2:$A$1001,0)),""))</f>
        <v/>
      </c>
      <c r="H236" s="16" t="str">
        <f aca="false">IF(OR(A236="",G236=""),"",F236*G236)</f>
        <v/>
      </c>
    </row>
    <row r="237" customFormat="false" ht="15" hidden="false" customHeight="false" outlineLevel="0" collapsed="false">
      <c r="A237" s="11"/>
      <c r="B237" s="12" t="str">
        <f aca="false">IF(A237="","",IFERROR(INDEX(Productos!$D$2:$D$1001,MATCH(A237,Productos!$A$2:$A$1001,0))&amp;" — "&amp;INDEX(Productos!$E$2:$E$1001,MATCH(A237,Productos!$A$2:$A$1001,0)),"SKU no existe en Productos"))</f>
        <v/>
      </c>
      <c r="C237" s="11"/>
      <c r="D237" s="11"/>
      <c r="E237" s="11"/>
      <c r="F237" s="12" t="str">
        <f aca="false">IF(A237="","",SUM(C237:E237))</f>
        <v/>
      </c>
      <c r="G237" s="16" t="str">
        <f aca="false">IF(A237="","",IFERROR(INDEX(Productos!$K$2:$K$1001,MATCH(A237,Productos!$A$2:$A$1001,0)),""))</f>
        <v/>
      </c>
      <c r="H237" s="16" t="str">
        <f aca="false">IF(OR(A237="",G237=""),"",F237*G237)</f>
        <v/>
      </c>
    </row>
    <row r="238" customFormat="false" ht="15" hidden="false" customHeight="false" outlineLevel="0" collapsed="false">
      <c r="A238" s="11"/>
      <c r="B238" s="12" t="str">
        <f aca="false">IF(A238="","",IFERROR(INDEX(Productos!$D$2:$D$1001,MATCH(A238,Productos!$A$2:$A$1001,0))&amp;" — "&amp;INDEX(Productos!$E$2:$E$1001,MATCH(A238,Productos!$A$2:$A$1001,0)),"SKU no existe en Productos"))</f>
        <v/>
      </c>
      <c r="C238" s="11"/>
      <c r="D238" s="11"/>
      <c r="E238" s="11"/>
      <c r="F238" s="12" t="str">
        <f aca="false">IF(A238="","",SUM(C238:E238))</f>
        <v/>
      </c>
      <c r="G238" s="16" t="str">
        <f aca="false">IF(A238="","",IFERROR(INDEX(Productos!$K$2:$K$1001,MATCH(A238,Productos!$A$2:$A$1001,0)),""))</f>
        <v/>
      </c>
      <c r="H238" s="16" t="str">
        <f aca="false">IF(OR(A238="",G238=""),"",F238*G238)</f>
        <v/>
      </c>
    </row>
    <row r="239" customFormat="false" ht="15" hidden="false" customHeight="false" outlineLevel="0" collapsed="false">
      <c r="A239" s="11"/>
      <c r="B239" s="12" t="str">
        <f aca="false">IF(A239="","",IFERROR(INDEX(Productos!$D$2:$D$1001,MATCH(A239,Productos!$A$2:$A$1001,0))&amp;" — "&amp;INDEX(Productos!$E$2:$E$1001,MATCH(A239,Productos!$A$2:$A$1001,0)),"SKU no existe en Productos"))</f>
        <v/>
      </c>
      <c r="C239" s="11"/>
      <c r="D239" s="11"/>
      <c r="E239" s="11"/>
      <c r="F239" s="12" t="str">
        <f aca="false">IF(A239="","",SUM(C239:E239))</f>
        <v/>
      </c>
      <c r="G239" s="16" t="str">
        <f aca="false">IF(A239="","",IFERROR(INDEX(Productos!$K$2:$K$1001,MATCH(A239,Productos!$A$2:$A$1001,0)),""))</f>
        <v/>
      </c>
      <c r="H239" s="16" t="str">
        <f aca="false">IF(OR(A239="",G239=""),"",F239*G239)</f>
        <v/>
      </c>
    </row>
    <row r="240" customFormat="false" ht="15" hidden="false" customHeight="false" outlineLevel="0" collapsed="false">
      <c r="A240" s="11"/>
      <c r="B240" s="12" t="str">
        <f aca="false">IF(A240="","",IFERROR(INDEX(Productos!$D$2:$D$1001,MATCH(A240,Productos!$A$2:$A$1001,0))&amp;" — "&amp;INDEX(Productos!$E$2:$E$1001,MATCH(A240,Productos!$A$2:$A$1001,0)),"SKU no existe en Productos"))</f>
        <v/>
      </c>
      <c r="C240" s="11"/>
      <c r="D240" s="11"/>
      <c r="E240" s="11"/>
      <c r="F240" s="12" t="str">
        <f aca="false">IF(A240="","",SUM(C240:E240))</f>
        <v/>
      </c>
      <c r="G240" s="16" t="str">
        <f aca="false">IF(A240="","",IFERROR(INDEX(Productos!$K$2:$K$1001,MATCH(A240,Productos!$A$2:$A$1001,0)),""))</f>
        <v/>
      </c>
      <c r="H240" s="16" t="str">
        <f aca="false">IF(OR(A240="",G240=""),"",F240*G240)</f>
        <v/>
      </c>
    </row>
    <row r="241" customFormat="false" ht="15" hidden="false" customHeight="false" outlineLevel="0" collapsed="false">
      <c r="A241" s="11"/>
      <c r="B241" s="12" t="str">
        <f aca="false">IF(A241="","",IFERROR(INDEX(Productos!$D$2:$D$1001,MATCH(A241,Productos!$A$2:$A$1001,0))&amp;" — "&amp;INDEX(Productos!$E$2:$E$1001,MATCH(A241,Productos!$A$2:$A$1001,0)),"SKU no existe en Productos"))</f>
        <v/>
      </c>
      <c r="C241" s="11"/>
      <c r="D241" s="11"/>
      <c r="E241" s="11"/>
      <c r="F241" s="12" t="str">
        <f aca="false">IF(A241="","",SUM(C241:E241))</f>
        <v/>
      </c>
      <c r="G241" s="16" t="str">
        <f aca="false">IF(A241="","",IFERROR(INDEX(Productos!$K$2:$K$1001,MATCH(A241,Productos!$A$2:$A$1001,0)),""))</f>
        <v/>
      </c>
      <c r="H241" s="16" t="str">
        <f aca="false">IF(OR(A241="",G241=""),"",F241*G241)</f>
        <v/>
      </c>
    </row>
    <row r="242" customFormat="false" ht="15" hidden="false" customHeight="false" outlineLevel="0" collapsed="false">
      <c r="A242" s="11"/>
      <c r="B242" s="12" t="str">
        <f aca="false">IF(A242="","",IFERROR(INDEX(Productos!$D$2:$D$1001,MATCH(A242,Productos!$A$2:$A$1001,0))&amp;" — "&amp;INDEX(Productos!$E$2:$E$1001,MATCH(A242,Productos!$A$2:$A$1001,0)),"SKU no existe en Productos"))</f>
        <v/>
      </c>
      <c r="C242" s="11"/>
      <c r="D242" s="11"/>
      <c r="E242" s="11"/>
      <c r="F242" s="12" t="str">
        <f aca="false">IF(A242="","",SUM(C242:E242))</f>
        <v/>
      </c>
      <c r="G242" s="16" t="str">
        <f aca="false">IF(A242="","",IFERROR(INDEX(Productos!$K$2:$K$1001,MATCH(A242,Productos!$A$2:$A$1001,0)),""))</f>
        <v/>
      </c>
      <c r="H242" s="16" t="str">
        <f aca="false">IF(OR(A242="",G242=""),"",F242*G242)</f>
        <v/>
      </c>
    </row>
    <row r="243" customFormat="false" ht="15" hidden="false" customHeight="false" outlineLevel="0" collapsed="false">
      <c r="A243" s="11"/>
      <c r="B243" s="12" t="str">
        <f aca="false">IF(A243="","",IFERROR(INDEX(Productos!$D$2:$D$1001,MATCH(A243,Productos!$A$2:$A$1001,0))&amp;" — "&amp;INDEX(Productos!$E$2:$E$1001,MATCH(A243,Productos!$A$2:$A$1001,0)),"SKU no existe en Productos"))</f>
        <v/>
      </c>
      <c r="C243" s="11"/>
      <c r="D243" s="11"/>
      <c r="E243" s="11"/>
      <c r="F243" s="12" t="str">
        <f aca="false">IF(A243="","",SUM(C243:E243))</f>
        <v/>
      </c>
      <c r="G243" s="16" t="str">
        <f aca="false">IF(A243="","",IFERROR(INDEX(Productos!$K$2:$K$1001,MATCH(A243,Productos!$A$2:$A$1001,0)),""))</f>
        <v/>
      </c>
      <c r="H243" s="16" t="str">
        <f aca="false">IF(OR(A243="",G243=""),"",F243*G243)</f>
        <v/>
      </c>
    </row>
    <row r="244" customFormat="false" ht="15" hidden="false" customHeight="false" outlineLevel="0" collapsed="false">
      <c r="A244" s="11"/>
      <c r="B244" s="12" t="str">
        <f aca="false">IF(A244="","",IFERROR(INDEX(Productos!$D$2:$D$1001,MATCH(A244,Productos!$A$2:$A$1001,0))&amp;" — "&amp;INDEX(Productos!$E$2:$E$1001,MATCH(A244,Productos!$A$2:$A$1001,0)),"SKU no existe en Productos"))</f>
        <v/>
      </c>
      <c r="C244" s="11"/>
      <c r="D244" s="11"/>
      <c r="E244" s="11"/>
      <c r="F244" s="12" t="str">
        <f aca="false">IF(A244="","",SUM(C244:E244))</f>
        <v/>
      </c>
      <c r="G244" s="16" t="str">
        <f aca="false">IF(A244="","",IFERROR(INDEX(Productos!$K$2:$K$1001,MATCH(A244,Productos!$A$2:$A$1001,0)),""))</f>
        <v/>
      </c>
      <c r="H244" s="16" t="str">
        <f aca="false">IF(OR(A244="",G244=""),"",F244*G244)</f>
        <v/>
      </c>
    </row>
    <row r="245" customFormat="false" ht="15" hidden="false" customHeight="false" outlineLevel="0" collapsed="false">
      <c r="A245" s="11"/>
      <c r="B245" s="12" t="str">
        <f aca="false">IF(A245="","",IFERROR(INDEX(Productos!$D$2:$D$1001,MATCH(A245,Productos!$A$2:$A$1001,0))&amp;" — "&amp;INDEX(Productos!$E$2:$E$1001,MATCH(A245,Productos!$A$2:$A$1001,0)),"SKU no existe en Productos"))</f>
        <v/>
      </c>
      <c r="C245" s="11"/>
      <c r="D245" s="11"/>
      <c r="E245" s="11"/>
      <c r="F245" s="12" t="str">
        <f aca="false">IF(A245="","",SUM(C245:E245))</f>
        <v/>
      </c>
      <c r="G245" s="16" t="str">
        <f aca="false">IF(A245="","",IFERROR(INDEX(Productos!$K$2:$K$1001,MATCH(A245,Productos!$A$2:$A$1001,0)),""))</f>
        <v/>
      </c>
      <c r="H245" s="16" t="str">
        <f aca="false">IF(OR(A245="",G245=""),"",F245*G245)</f>
        <v/>
      </c>
    </row>
    <row r="246" customFormat="false" ht="15" hidden="false" customHeight="false" outlineLevel="0" collapsed="false">
      <c r="A246" s="11"/>
      <c r="B246" s="12" t="str">
        <f aca="false">IF(A246="","",IFERROR(INDEX(Productos!$D$2:$D$1001,MATCH(A246,Productos!$A$2:$A$1001,0))&amp;" — "&amp;INDEX(Productos!$E$2:$E$1001,MATCH(A246,Productos!$A$2:$A$1001,0)),"SKU no existe en Productos"))</f>
        <v/>
      </c>
      <c r="C246" s="11"/>
      <c r="D246" s="11"/>
      <c r="E246" s="11"/>
      <c r="F246" s="12" t="str">
        <f aca="false">IF(A246="","",SUM(C246:E246))</f>
        <v/>
      </c>
      <c r="G246" s="16" t="str">
        <f aca="false">IF(A246="","",IFERROR(INDEX(Productos!$K$2:$K$1001,MATCH(A246,Productos!$A$2:$A$1001,0)),""))</f>
        <v/>
      </c>
      <c r="H246" s="16" t="str">
        <f aca="false">IF(OR(A246="",G246=""),"",F246*G246)</f>
        <v/>
      </c>
    </row>
    <row r="247" customFormat="false" ht="15" hidden="false" customHeight="false" outlineLevel="0" collapsed="false">
      <c r="A247" s="11"/>
      <c r="B247" s="12" t="str">
        <f aca="false">IF(A247="","",IFERROR(INDEX(Productos!$D$2:$D$1001,MATCH(A247,Productos!$A$2:$A$1001,0))&amp;" — "&amp;INDEX(Productos!$E$2:$E$1001,MATCH(A247,Productos!$A$2:$A$1001,0)),"SKU no existe en Productos"))</f>
        <v/>
      </c>
      <c r="C247" s="11"/>
      <c r="D247" s="11"/>
      <c r="E247" s="11"/>
      <c r="F247" s="12" t="str">
        <f aca="false">IF(A247="","",SUM(C247:E247))</f>
        <v/>
      </c>
      <c r="G247" s="16" t="str">
        <f aca="false">IF(A247="","",IFERROR(INDEX(Productos!$K$2:$K$1001,MATCH(A247,Productos!$A$2:$A$1001,0)),""))</f>
        <v/>
      </c>
      <c r="H247" s="16" t="str">
        <f aca="false">IF(OR(A247="",G247=""),"",F247*G247)</f>
        <v/>
      </c>
    </row>
    <row r="248" customFormat="false" ht="15" hidden="false" customHeight="false" outlineLevel="0" collapsed="false">
      <c r="A248" s="11"/>
      <c r="B248" s="12" t="str">
        <f aca="false">IF(A248="","",IFERROR(INDEX(Productos!$D$2:$D$1001,MATCH(A248,Productos!$A$2:$A$1001,0))&amp;" — "&amp;INDEX(Productos!$E$2:$E$1001,MATCH(A248,Productos!$A$2:$A$1001,0)),"SKU no existe en Productos"))</f>
        <v/>
      </c>
      <c r="C248" s="11"/>
      <c r="D248" s="11"/>
      <c r="E248" s="11"/>
      <c r="F248" s="12" t="str">
        <f aca="false">IF(A248="","",SUM(C248:E248))</f>
        <v/>
      </c>
      <c r="G248" s="16" t="str">
        <f aca="false">IF(A248="","",IFERROR(INDEX(Productos!$K$2:$K$1001,MATCH(A248,Productos!$A$2:$A$1001,0)),""))</f>
        <v/>
      </c>
      <c r="H248" s="16" t="str">
        <f aca="false">IF(OR(A248="",G248=""),"",F248*G248)</f>
        <v/>
      </c>
    </row>
    <row r="249" customFormat="false" ht="15" hidden="false" customHeight="false" outlineLevel="0" collapsed="false">
      <c r="A249" s="11"/>
      <c r="B249" s="12" t="str">
        <f aca="false">IF(A249="","",IFERROR(INDEX(Productos!$D$2:$D$1001,MATCH(A249,Productos!$A$2:$A$1001,0))&amp;" — "&amp;INDEX(Productos!$E$2:$E$1001,MATCH(A249,Productos!$A$2:$A$1001,0)),"SKU no existe en Productos"))</f>
        <v/>
      </c>
      <c r="C249" s="11"/>
      <c r="D249" s="11"/>
      <c r="E249" s="11"/>
      <c r="F249" s="12" t="str">
        <f aca="false">IF(A249="","",SUM(C249:E249))</f>
        <v/>
      </c>
      <c r="G249" s="16" t="str">
        <f aca="false">IF(A249="","",IFERROR(INDEX(Productos!$K$2:$K$1001,MATCH(A249,Productos!$A$2:$A$1001,0)),""))</f>
        <v/>
      </c>
      <c r="H249" s="16" t="str">
        <f aca="false">IF(OR(A249="",G249=""),"",F249*G249)</f>
        <v/>
      </c>
    </row>
    <row r="250" customFormat="false" ht="15" hidden="false" customHeight="false" outlineLevel="0" collapsed="false">
      <c r="A250" s="11"/>
      <c r="B250" s="12" t="str">
        <f aca="false">IF(A250="","",IFERROR(INDEX(Productos!$D$2:$D$1001,MATCH(A250,Productos!$A$2:$A$1001,0))&amp;" — "&amp;INDEX(Productos!$E$2:$E$1001,MATCH(A250,Productos!$A$2:$A$1001,0)),"SKU no existe en Productos"))</f>
        <v/>
      </c>
      <c r="C250" s="11"/>
      <c r="D250" s="11"/>
      <c r="E250" s="11"/>
      <c r="F250" s="12" t="str">
        <f aca="false">IF(A250="","",SUM(C250:E250))</f>
        <v/>
      </c>
      <c r="G250" s="16" t="str">
        <f aca="false">IF(A250="","",IFERROR(INDEX(Productos!$K$2:$K$1001,MATCH(A250,Productos!$A$2:$A$1001,0)),""))</f>
        <v/>
      </c>
      <c r="H250" s="16" t="str">
        <f aca="false">IF(OR(A250="",G250=""),"",F250*G250)</f>
        <v/>
      </c>
    </row>
    <row r="251" customFormat="false" ht="15" hidden="false" customHeight="false" outlineLevel="0" collapsed="false">
      <c r="A251" s="11"/>
      <c r="B251" s="12" t="str">
        <f aca="false">IF(A251="","",IFERROR(INDEX(Productos!$D$2:$D$1001,MATCH(A251,Productos!$A$2:$A$1001,0))&amp;" — "&amp;INDEX(Productos!$E$2:$E$1001,MATCH(A251,Productos!$A$2:$A$1001,0)),"SKU no existe en Productos"))</f>
        <v/>
      </c>
      <c r="C251" s="11"/>
      <c r="D251" s="11"/>
      <c r="E251" s="11"/>
      <c r="F251" s="12" t="str">
        <f aca="false">IF(A251="","",SUM(C251:E251))</f>
        <v/>
      </c>
      <c r="G251" s="16" t="str">
        <f aca="false">IF(A251="","",IFERROR(INDEX(Productos!$K$2:$K$1001,MATCH(A251,Productos!$A$2:$A$1001,0)),""))</f>
        <v/>
      </c>
      <c r="H251" s="16" t="str">
        <f aca="false">IF(OR(A251="",G251=""),"",F251*G251)</f>
        <v/>
      </c>
    </row>
    <row r="252" customFormat="false" ht="15" hidden="false" customHeight="false" outlineLevel="0" collapsed="false">
      <c r="A252" s="11"/>
      <c r="B252" s="12" t="str">
        <f aca="false">IF(A252="","",IFERROR(INDEX(Productos!$D$2:$D$1001,MATCH(A252,Productos!$A$2:$A$1001,0))&amp;" — "&amp;INDEX(Productos!$E$2:$E$1001,MATCH(A252,Productos!$A$2:$A$1001,0)),"SKU no existe en Productos"))</f>
        <v/>
      </c>
      <c r="C252" s="11"/>
      <c r="D252" s="11"/>
      <c r="E252" s="11"/>
      <c r="F252" s="12" t="str">
        <f aca="false">IF(A252="","",SUM(C252:E252))</f>
        <v/>
      </c>
      <c r="G252" s="16" t="str">
        <f aca="false">IF(A252="","",IFERROR(INDEX(Productos!$K$2:$K$1001,MATCH(A252,Productos!$A$2:$A$1001,0)),""))</f>
        <v/>
      </c>
      <c r="H252" s="16" t="str">
        <f aca="false">IF(OR(A252="",G252=""),"",F252*G252)</f>
        <v/>
      </c>
    </row>
    <row r="253" customFormat="false" ht="15" hidden="false" customHeight="false" outlineLevel="0" collapsed="false">
      <c r="A253" s="11"/>
      <c r="B253" s="12" t="str">
        <f aca="false">IF(A253="","",IFERROR(INDEX(Productos!$D$2:$D$1001,MATCH(A253,Productos!$A$2:$A$1001,0))&amp;" — "&amp;INDEX(Productos!$E$2:$E$1001,MATCH(A253,Productos!$A$2:$A$1001,0)),"SKU no existe en Productos"))</f>
        <v/>
      </c>
      <c r="C253" s="11"/>
      <c r="D253" s="11"/>
      <c r="E253" s="11"/>
      <c r="F253" s="12" t="str">
        <f aca="false">IF(A253="","",SUM(C253:E253))</f>
        <v/>
      </c>
      <c r="G253" s="16" t="str">
        <f aca="false">IF(A253="","",IFERROR(INDEX(Productos!$K$2:$K$1001,MATCH(A253,Productos!$A$2:$A$1001,0)),""))</f>
        <v/>
      </c>
      <c r="H253" s="16" t="str">
        <f aca="false">IF(OR(A253="",G253=""),"",F253*G253)</f>
        <v/>
      </c>
    </row>
    <row r="254" customFormat="false" ht="15" hidden="false" customHeight="false" outlineLevel="0" collapsed="false">
      <c r="A254" s="11"/>
      <c r="B254" s="12" t="str">
        <f aca="false">IF(A254="","",IFERROR(INDEX(Productos!$D$2:$D$1001,MATCH(A254,Productos!$A$2:$A$1001,0))&amp;" — "&amp;INDEX(Productos!$E$2:$E$1001,MATCH(A254,Productos!$A$2:$A$1001,0)),"SKU no existe en Productos"))</f>
        <v/>
      </c>
      <c r="C254" s="11"/>
      <c r="D254" s="11"/>
      <c r="E254" s="11"/>
      <c r="F254" s="12" t="str">
        <f aca="false">IF(A254="","",SUM(C254:E254))</f>
        <v/>
      </c>
      <c r="G254" s="16" t="str">
        <f aca="false">IF(A254="","",IFERROR(INDEX(Productos!$K$2:$K$1001,MATCH(A254,Productos!$A$2:$A$1001,0)),""))</f>
        <v/>
      </c>
      <c r="H254" s="16" t="str">
        <f aca="false">IF(OR(A254="",G254=""),"",F254*G254)</f>
        <v/>
      </c>
    </row>
    <row r="255" customFormat="false" ht="15" hidden="false" customHeight="false" outlineLevel="0" collapsed="false">
      <c r="A255" s="11"/>
      <c r="B255" s="12" t="str">
        <f aca="false">IF(A255="","",IFERROR(INDEX(Productos!$D$2:$D$1001,MATCH(A255,Productos!$A$2:$A$1001,0))&amp;" — "&amp;INDEX(Productos!$E$2:$E$1001,MATCH(A255,Productos!$A$2:$A$1001,0)),"SKU no existe en Productos"))</f>
        <v/>
      </c>
      <c r="C255" s="11"/>
      <c r="D255" s="11"/>
      <c r="E255" s="11"/>
      <c r="F255" s="12" t="str">
        <f aca="false">IF(A255="","",SUM(C255:E255))</f>
        <v/>
      </c>
      <c r="G255" s="16" t="str">
        <f aca="false">IF(A255="","",IFERROR(INDEX(Productos!$K$2:$K$1001,MATCH(A255,Productos!$A$2:$A$1001,0)),""))</f>
        <v/>
      </c>
      <c r="H255" s="16" t="str">
        <f aca="false">IF(OR(A255="",G255=""),"",F255*G255)</f>
        <v/>
      </c>
    </row>
    <row r="256" customFormat="false" ht="15" hidden="false" customHeight="false" outlineLevel="0" collapsed="false">
      <c r="A256" s="11"/>
      <c r="B256" s="12" t="str">
        <f aca="false">IF(A256="","",IFERROR(INDEX(Productos!$D$2:$D$1001,MATCH(A256,Productos!$A$2:$A$1001,0))&amp;" — "&amp;INDEX(Productos!$E$2:$E$1001,MATCH(A256,Productos!$A$2:$A$1001,0)),"SKU no existe en Productos"))</f>
        <v/>
      </c>
      <c r="C256" s="11"/>
      <c r="D256" s="11"/>
      <c r="E256" s="11"/>
      <c r="F256" s="12" t="str">
        <f aca="false">IF(A256="","",SUM(C256:E256))</f>
        <v/>
      </c>
      <c r="G256" s="16" t="str">
        <f aca="false">IF(A256="","",IFERROR(INDEX(Productos!$K$2:$K$1001,MATCH(A256,Productos!$A$2:$A$1001,0)),""))</f>
        <v/>
      </c>
      <c r="H256" s="16" t="str">
        <f aca="false">IF(OR(A256="",G256=""),"",F256*G256)</f>
        <v/>
      </c>
    </row>
    <row r="257" customFormat="false" ht="15" hidden="false" customHeight="false" outlineLevel="0" collapsed="false">
      <c r="A257" s="11"/>
      <c r="B257" s="12" t="str">
        <f aca="false">IF(A257="","",IFERROR(INDEX(Productos!$D$2:$D$1001,MATCH(A257,Productos!$A$2:$A$1001,0))&amp;" — "&amp;INDEX(Productos!$E$2:$E$1001,MATCH(A257,Productos!$A$2:$A$1001,0)),"SKU no existe en Productos"))</f>
        <v/>
      </c>
      <c r="C257" s="11"/>
      <c r="D257" s="11"/>
      <c r="E257" s="11"/>
      <c r="F257" s="12" t="str">
        <f aca="false">IF(A257="","",SUM(C257:E257))</f>
        <v/>
      </c>
      <c r="G257" s="16" t="str">
        <f aca="false">IF(A257="","",IFERROR(INDEX(Productos!$K$2:$K$1001,MATCH(A257,Productos!$A$2:$A$1001,0)),""))</f>
        <v/>
      </c>
      <c r="H257" s="16" t="str">
        <f aca="false">IF(OR(A257="",G257=""),"",F257*G257)</f>
        <v/>
      </c>
    </row>
    <row r="258" customFormat="false" ht="15" hidden="false" customHeight="false" outlineLevel="0" collapsed="false">
      <c r="A258" s="11"/>
      <c r="B258" s="12" t="str">
        <f aca="false">IF(A258="","",IFERROR(INDEX(Productos!$D$2:$D$1001,MATCH(A258,Productos!$A$2:$A$1001,0))&amp;" — "&amp;INDEX(Productos!$E$2:$E$1001,MATCH(A258,Productos!$A$2:$A$1001,0)),"SKU no existe en Productos"))</f>
        <v/>
      </c>
      <c r="C258" s="11"/>
      <c r="D258" s="11"/>
      <c r="E258" s="11"/>
      <c r="F258" s="12" t="str">
        <f aca="false">IF(A258="","",SUM(C258:E258))</f>
        <v/>
      </c>
      <c r="G258" s="16" t="str">
        <f aca="false">IF(A258="","",IFERROR(INDEX(Productos!$K$2:$K$1001,MATCH(A258,Productos!$A$2:$A$1001,0)),""))</f>
        <v/>
      </c>
      <c r="H258" s="16" t="str">
        <f aca="false">IF(OR(A258="",G258=""),"",F258*G258)</f>
        <v/>
      </c>
    </row>
    <row r="259" customFormat="false" ht="15" hidden="false" customHeight="false" outlineLevel="0" collapsed="false">
      <c r="A259" s="11"/>
      <c r="B259" s="12" t="str">
        <f aca="false">IF(A259="","",IFERROR(INDEX(Productos!$D$2:$D$1001,MATCH(A259,Productos!$A$2:$A$1001,0))&amp;" — "&amp;INDEX(Productos!$E$2:$E$1001,MATCH(A259,Productos!$A$2:$A$1001,0)),"SKU no existe en Productos"))</f>
        <v/>
      </c>
      <c r="C259" s="11"/>
      <c r="D259" s="11"/>
      <c r="E259" s="11"/>
      <c r="F259" s="12" t="str">
        <f aca="false">IF(A259="","",SUM(C259:E259))</f>
        <v/>
      </c>
      <c r="G259" s="16" t="str">
        <f aca="false">IF(A259="","",IFERROR(INDEX(Productos!$K$2:$K$1001,MATCH(A259,Productos!$A$2:$A$1001,0)),""))</f>
        <v/>
      </c>
      <c r="H259" s="16" t="str">
        <f aca="false">IF(OR(A259="",G259=""),"",F259*G259)</f>
        <v/>
      </c>
    </row>
    <row r="260" customFormat="false" ht="15" hidden="false" customHeight="false" outlineLevel="0" collapsed="false">
      <c r="A260" s="11"/>
      <c r="B260" s="12" t="str">
        <f aca="false">IF(A260="","",IFERROR(INDEX(Productos!$D$2:$D$1001,MATCH(A260,Productos!$A$2:$A$1001,0))&amp;" — "&amp;INDEX(Productos!$E$2:$E$1001,MATCH(A260,Productos!$A$2:$A$1001,0)),"SKU no existe en Productos"))</f>
        <v/>
      </c>
      <c r="C260" s="11"/>
      <c r="D260" s="11"/>
      <c r="E260" s="11"/>
      <c r="F260" s="12" t="str">
        <f aca="false">IF(A260="","",SUM(C260:E260))</f>
        <v/>
      </c>
      <c r="G260" s="16" t="str">
        <f aca="false">IF(A260="","",IFERROR(INDEX(Productos!$K$2:$K$1001,MATCH(A260,Productos!$A$2:$A$1001,0)),""))</f>
        <v/>
      </c>
      <c r="H260" s="16" t="str">
        <f aca="false">IF(OR(A260="",G260=""),"",F260*G260)</f>
        <v/>
      </c>
    </row>
    <row r="261" customFormat="false" ht="15" hidden="false" customHeight="false" outlineLevel="0" collapsed="false">
      <c r="A261" s="11"/>
      <c r="B261" s="12" t="str">
        <f aca="false">IF(A261="","",IFERROR(INDEX(Productos!$D$2:$D$1001,MATCH(A261,Productos!$A$2:$A$1001,0))&amp;" — "&amp;INDEX(Productos!$E$2:$E$1001,MATCH(A261,Productos!$A$2:$A$1001,0)),"SKU no existe en Productos"))</f>
        <v/>
      </c>
      <c r="C261" s="11"/>
      <c r="D261" s="11"/>
      <c r="E261" s="11"/>
      <c r="F261" s="12" t="str">
        <f aca="false">IF(A261="","",SUM(C261:E261))</f>
        <v/>
      </c>
      <c r="G261" s="16" t="str">
        <f aca="false">IF(A261="","",IFERROR(INDEX(Productos!$K$2:$K$1001,MATCH(A261,Productos!$A$2:$A$1001,0)),""))</f>
        <v/>
      </c>
      <c r="H261" s="16" t="str">
        <f aca="false">IF(OR(A261="",G261=""),"",F261*G261)</f>
        <v/>
      </c>
    </row>
    <row r="262" customFormat="false" ht="15" hidden="false" customHeight="false" outlineLevel="0" collapsed="false">
      <c r="A262" s="11"/>
      <c r="B262" s="12" t="str">
        <f aca="false">IF(A262="","",IFERROR(INDEX(Productos!$D$2:$D$1001,MATCH(A262,Productos!$A$2:$A$1001,0))&amp;" — "&amp;INDEX(Productos!$E$2:$E$1001,MATCH(A262,Productos!$A$2:$A$1001,0)),"SKU no existe en Productos"))</f>
        <v/>
      </c>
      <c r="C262" s="11"/>
      <c r="D262" s="11"/>
      <c r="E262" s="11"/>
      <c r="F262" s="12" t="str">
        <f aca="false">IF(A262="","",SUM(C262:E262))</f>
        <v/>
      </c>
      <c r="G262" s="16" t="str">
        <f aca="false">IF(A262="","",IFERROR(INDEX(Productos!$K$2:$K$1001,MATCH(A262,Productos!$A$2:$A$1001,0)),""))</f>
        <v/>
      </c>
      <c r="H262" s="16" t="str">
        <f aca="false">IF(OR(A262="",G262=""),"",F262*G262)</f>
        <v/>
      </c>
    </row>
    <row r="263" customFormat="false" ht="15" hidden="false" customHeight="false" outlineLevel="0" collapsed="false">
      <c r="A263" s="11"/>
      <c r="B263" s="12" t="str">
        <f aca="false">IF(A263="","",IFERROR(INDEX(Productos!$D$2:$D$1001,MATCH(A263,Productos!$A$2:$A$1001,0))&amp;" — "&amp;INDEX(Productos!$E$2:$E$1001,MATCH(A263,Productos!$A$2:$A$1001,0)),"SKU no existe en Productos"))</f>
        <v/>
      </c>
      <c r="C263" s="11"/>
      <c r="D263" s="11"/>
      <c r="E263" s="11"/>
      <c r="F263" s="12" t="str">
        <f aca="false">IF(A263="","",SUM(C263:E263))</f>
        <v/>
      </c>
      <c r="G263" s="16" t="str">
        <f aca="false">IF(A263="","",IFERROR(INDEX(Productos!$K$2:$K$1001,MATCH(A263,Productos!$A$2:$A$1001,0)),""))</f>
        <v/>
      </c>
      <c r="H263" s="16" t="str">
        <f aca="false">IF(OR(A263="",G263=""),"",F263*G263)</f>
        <v/>
      </c>
    </row>
    <row r="264" customFormat="false" ht="15" hidden="false" customHeight="false" outlineLevel="0" collapsed="false">
      <c r="A264" s="11"/>
      <c r="B264" s="12" t="str">
        <f aca="false">IF(A264="","",IFERROR(INDEX(Productos!$D$2:$D$1001,MATCH(A264,Productos!$A$2:$A$1001,0))&amp;" — "&amp;INDEX(Productos!$E$2:$E$1001,MATCH(A264,Productos!$A$2:$A$1001,0)),"SKU no existe en Productos"))</f>
        <v/>
      </c>
      <c r="C264" s="11"/>
      <c r="D264" s="11"/>
      <c r="E264" s="11"/>
      <c r="F264" s="12" t="str">
        <f aca="false">IF(A264="","",SUM(C264:E264))</f>
        <v/>
      </c>
      <c r="G264" s="16" t="str">
        <f aca="false">IF(A264="","",IFERROR(INDEX(Productos!$K$2:$K$1001,MATCH(A264,Productos!$A$2:$A$1001,0)),""))</f>
        <v/>
      </c>
      <c r="H264" s="16" t="str">
        <f aca="false">IF(OR(A264="",G264=""),"",F264*G264)</f>
        <v/>
      </c>
    </row>
    <row r="265" customFormat="false" ht="15" hidden="false" customHeight="false" outlineLevel="0" collapsed="false">
      <c r="A265" s="11"/>
      <c r="B265" s="12" t="str">
        <f aca="false">IF(A265="","",IFERROR(INDEX(Productos!$D$2:$D$1001,MATCH(A265,Productos!$A$2:$A$1001,0))&amp;" — "&amp;INDEX(Productos!$E$2:$E$1001,MATCH(A265,Productos!$A$2:$A$1001,0)),"SKU no existe en Productos"))</f>
        <v/>
      </c>
      <c r="C265" s="11"/>
      <c r="D265" s="11"/>
      <c r="E265" s="11"/>
      <c r="F265" s="12" t="str">
        <f aca="false">IF(A265="","",SUM(C265:E265))</f>
        <v/>
      </c>
      <c r="G265" s="16" t="str">
        <f aca="false">IF(A265="","",IFERROR(INDEX(Productos!$K$2:$K$1001,MATCH(A265,Productos!$A$2:$A$1001,0)),""))</f>
        <v/>
      </c>
      <c r="H265" s="16" t="str">
        <f aca="false">IF(OR(A265="",G265=""),"",F265*G265)</f>
        <v/>
      </c>
    </row>
    <row r="266" customFormat="false" ht="15" hidden="false" customHeight="false" outlineLevel="0" collapsed="false">
      <c r="A266" s="11"/>
      <c r="B266" s="12" t="str">
        <f aca="false">IF(A266="","",IFERROR(INDEX(Productos!$D$2:$D$1001,MATCH(A266,Productos!$A$2:$A$1001,0))&amp;" — "&amp;INDEX(Productos!$E$2:$E$1001,MATCH(A266,Productos!$A$2:$A$1001,0)),"SKU no existe en Productos"))</f>
        <v/>
      </c>
      <c r="C266" s="11"/>
      <c r="D266" s="11"/>
      <c r="E266" s="11"/>
      <c r="F266" s="12" t="str">
        <f aca="false">IF(A266="","",SUM(C266:E266))</f>
        <v/>
      </c>
      <c r="G266" s="16" t="str">
        <f aca="false">IF(A266="","",IFERROR(INDEX(Productos!$K$2:$K$1001,MATCH(A266,Productos!$A$2:$A$1001,0)),""))</f>
        <v/>
      </c>
      <c r="H266" s="16" t="str">
        <f aca="false">IF(OR(A266="",G266=""),"",F266*G266)</f>
        <v/>
      </c>
    </row>
    <row r="267" customFormat="false" ht="15" hidden="false" customHeight="false" outlineLevel="0" collapsed="false">
      <c r="A267" s="11"/>
      <c r="B267" s="12" t="str">
        <f aca="false">IF(A267="","",IFERROR(INDEX(Productos!$D$2:$D$1001,MATCH(A267,Productos!$A$2:$A$1001,0))&amp;" — "&amp;INDEX(Productos!$E$2:$E$1001,MATCH(A267,Productos!$A$2:$A$1001,0)),"SKU no existe en Productos"))</f>
        <v/>
      </c>
      <c r="C267" s="11"/>
      <c r="D267" s="11"/>
      <c r="E267" s="11"/>
      <c r="F267" s="12" t="str">
        <f aca="false">IF(A267="","",SUM(C267:E267))</f>
        <v/>
      </c>
      <c r="G267" s="16" t="str">
        <f aca="false">IF(A267="","",IFERROR(INDEX(Productos!$K$2:$K$1001,MATCH(A267,Productos!$A$2:$A$1001,0)),""))</f>
        <v/>
      </c>
      <c r="H267" s="16" t="str">
        <f aca="false">IF(OR(A267="",G267=""),"",F267*G267)</f>
        <v/>
      </c>
    </row>
    <row r="268" customFormat="false" ht="15" hidden="false" customHeight="false" outlineLevel="0" collapsed="false">
      <c r="A268" s="11"/>
      <c r="B268" s="12" t="str">
        <f aca="false">IF(A268="","",IFERROR(INDEX(Productos!$D$2:$D$1001,MATCH(A268,Productos!$A$2:$A$1001,0))&amp;" — "&amp;INDEX(Productos!$E$2:$E$1001,MATCH(A268,Productos!$A$2:$A$1001,0)),"SKU no existe en Productos"))</f>
        <v/>
      </c>
      <c r="C268" s="11"/>
      <c r="D268" s="11"/>
      <c r="E268" s="11"/>
      <c r="F268" s="12" t="str">
        <f aca="false">IF(A268="","",SUM(C268:E268))</f>
        <v/>
      </c>
      <c r="G268" s="16" t="str">
        <f aca="false">IF(A268="","",IFERROR(INDEX(Productos!$K$2:$K$1001,MATCH(A268,Productos!$A$2:$A$1001,0)),""))</f>
        <v/>
      </c>
      <c r="H268" s="16" t="str">
        <f aca="false">IF(OR(A268="",G268=""),"",F268*G268)</f>
        <v/>
      </c>
    </row>
    <row r="269" customFormat="false" ht="15" hidden="false" customHeight="false" outlineLevel="0" collapsed="false">
      <c r="A269" s="11"/>
      <c r="B269" s="12" t="str">
        <f aca="false">IF(A269="","",IFERROR(INDEX(Productos!$D$2:$D$1001,MATCH(A269,Productos!$A$2:$A$1001,0))&amp;" — "&amp;INDEX(Productos!$E$2:$E$1001,MATCH(A269,Productos!$A$2:$A$1001,0)),"SKU no existe en Productos"))</f>
        <v/>
      </c>
      <c r="C269" s="11"/>
      <c r="D269" s="11"/>
      <c r="E269" s="11"/>
      <c r="F269" s="12" t="str">
        <f aca="false">IF(A269="","",SUM(C269:E269))</f>
        <v/>
      </c>
      <c r="G269" s="16" t="str">
        <f aca="false">IF(A269="","",IFERROR(INDEX(Productos!$K$2:$K$1001,MATCH(A269,Productos!$A$2:$A$1001,0)),""))</f>
        <v/>
      </c>
      <c r="H269" s="16" t="str">
        <f aca="false">IF(OR(A269="",G269=""),"",F269*G269)</f>
        <v/>
      </c>
    </row>
    <row r="270" customFormat="false" ht="15" hidden="false" customHeight="false" outlineLevel="0" collapsed="false">
      <c r="A270" s="11"/>
      <c r="B270" s="12" t="str">
        <f aca="false">IF(A270="","",IFERROR(INDEX(Productos!$D$2:$D$1001,MATCH(A270,Productos!$A$2:$A$1001,0))&amp;" — "&amp;INDEX(Productos!$E$2:$E$1001,MATCH(A270,Productos!$A$2:$A$1001,0)),"SKU no existe en Productos"))</f>
        <v/>
      </c>
      <c r="C270" s="11"/>
      <c r="D270" s="11"/>
      <c r="E270" s="11"/>
      <c r="F270" s="12" t="str">
        <f aca="false">IF(A270="","",SUM(C270:E270))</f>
        <v/>
      </c>
      <c r="G270" s="16" t="str">
        <f aca="false">IF(A270="","",IFERROR(INDEX(Productos!$K$2:$K$1001,MATCH(A270,Productos!$A$2:$A$1001,0)),""))</f>
        <v/>
      </c>
      <c r="H270" s="16" t="str">
        <f aca="false">IF(OR(A270="",G270=""),"",F270*G270)</f>
        <v/>
      </c>
    </row>
    <row r="271" customFormat="false" ht="15" hidden="false" customHeight="false" outlineLevel="0" collapsed="false">
      <c r="A271" s="11"/>
      <c r="B271" s="12" t="str">
        <f aca="false">IF(A271="","",IFERROR(INDEX(Productos!$D$2:$D$1001,MATCH(A271,Productos!$A$2:$A$1001,0))&amp;" — "&amp;INDEX(Productos!$E$2:$E$1001,MATCH(A271,Productos!$A$2:$A$1001,0)),"SKU no existe en Productos"))</f>
        <v/>
      </c>
      <c r="C271" s="11"/>
      <c r="D271" s="11"/>
      <c r="E271" s="11"/>
      <c r="F271" s="12" t="str">
        <f aca="false">IF(A271="","",SUM(C271:E271))</f>
        <v/>
      </c>
      <c r="G271" s="16" t="str">
        <f aca="false">IF(A271="","",IFERROR(INDEX(Productos!$K$2:$K$1001,MATCH(A271,Productos!$A$2:$A$1001,0)),""))</f>
        <v/>
      </c>
      <c r="H271" s="16" t="str">
        <f aca="false">IF(OR(A271="",G271=""),"",F271*G271)</f>
        <v/>
      </c>
    </row>
    <row r="272" customFormat="false" ht="15" hidden="false" customHeight="false" outlineLevel="0" collapsed="false">
      <c r="A272" s="11"/>
      <c r="B272" s="12" t="str">
        <f aca="false">IF(A272="","",IFERROR(INDEX(Productos!$D$2:$D$1001,MATCH(A272,Productos!$A$2:$A$1001,0))&amp;" — "&amp;INDEX(Productos!$E$2:$E$1001,MATCH(A272,Productos!$A$2:$A$1001,0)),"SKU no existe en Productos"))</f>
        <v/>
      </c>
      <c r="C272" s="11"/>
      <c r="D272" s="11"/>
      <c r="E272" s="11"/>
      <c r="F272" s="12" t="str">
        <f aca="false">IF(A272="","",SUM(C272:E272))</f>
        <v/>
      </c>
      <c r="G272" s="16" t="str">
        <f aca="false">IF(A272="","",IFERROR(INDEX(Productos!$K$2:$K$1001,MATCH(A272,Productos!$A$2:$A$1001,0)),""))</f>
        <v/>
      </c>
      <c r="H272" s="16" t="str">
        <f aca="false">IF(OR(A272="",G272=""),"",F272*G272)</f>
        <v/>
      </c>
    </row>
    <row r="273" customFormat="false" ht="15" hidden="false" customHeight="false" outlineLevel="0" collapsed="false">
      <c r="A273" s="11"/>
      <c r="B273" s="12" t="str">
        <f aca="false">IF(A273="","",IFERROR(INDEX(Productos!$D$2:$D$1001,MATCH(A273,Productos!$A$2:$A$1001,0))&amp;" — "&amp;INDEX(Productos!$E$2:$E$1001,MATCH(A273,Productos!$A$2:$A$1001,0)),"SKU no existe en Productos"))</f>
        <v/>
      </c>
      <c r="C273" s="11"/>
      <c r="D273" s="11"/>
      <c r="E273" s="11"/>
      <c r="F273" s="12" t="str">
        <f aca="false">IF(A273="","",SUM(C273:E273))</f>
        <v/>
      </c>
      <c r="G273" s="16" t="str">
        <f aca="false">IF(A273="","",IFERROR(INDEX(Productos!$K$2:$K$1001,MATCH(A273,Productos!$A$2:$A$1001,0)),""))</f>
        <v/>
      </c>
      <c r="H273" s="16" t="str">
        <f aca="false">IF(OR(A273="",G273=""),"",F273*G273)</f>
        <v/>
      </c>
    </row>
    <row r="274" customFormat="false" ht="15" hidden="false" customHeight="false" outlineLevel="0" collapsed="false">
      <c r="A274" s="11"/>
      <c r="B274" s="12" t="str">
        <f aca="false">IF(A274="","",IFERROR(INDEX(Productos!$D$2:$D$1001,MATCH(A274,Productos!$A$2:$A$1001,0))&amp;" — "&amp;INDEX(Productos!$E$2:$E$1001,MATCH(A274,Productos!$A$2:$A$1001,0)),"SKU no existe en Productos"))</f>
        <v/>
      </c>
      <c r="C274" s="11"/>
      <c r="D274" s="11"/>
      <c r="E274" s="11"/>
      <c r="F274" s="12" t="str">
        <f aca="false">IF(A274="","",SUM(C274:E274))</f>
        <v/>
      </c>
      <c r="G274" s="16" t="str">
        <f aca="false">IF(A274="","",IFERROR(INDEX(Productos!$K$2:$K$1001,MATCH(A274,Productos!$A$2:$A$1001,0)),""))</f>
        <v/>
      </c>
      <c r="H274" s="16" t="str">
        <f aca="false">IF(OR(A274="",G274=""),"",F274*G274)</f>
        <v/>
      </c>
    </row>
    <row r="275" customFormat="false" ht="15" hidden="false" customHeight="false" outlineLevel="0" collapsed="false">
      <c r="A275" s="11"/>
      <c r="B275" s="12" t="str">
        <f aca="false">IF(A275="","",IFERROR(INDEX(Productos!$D$2:$D$1001,MATCH(A275,Productos!$A$2:$A$1001,0))&amp;" — "&amp;INDEX(Productos!$E$2:$E$1001,MATCH(A275,Productos!$A$2:$A$1001,0)),"SKU no existe en Productos"))</f>
        <v/>
      </c>
      <c r="C275" s="11"/>
      <c r="D275" s="11"/>
      <c r="E275" s="11"/>
      <c r="F275" s="12" t="str">
        <f aca="false">IF(A275="","",SUM(C275:E275))</f>
        <v/>
      </c>
      <c r="G275" s="16" t="str">
        <f aca="false">IF(A275="","",IFERROR(INDEX(Productos!$K$2:$K$1001,MATCH(A275,Productos!$A$2:$A$1001,0)),""))</f>
        <v/>
      </c>
      <c r="H275" s="16" t="str">
        <f aca="false">IF(OR(A275="",G275=""),"",F275*G275)</f>
        <v/>
      </c>
    </row>
    <row r="276" customFormat="false" ht="15" hidden="false" customHeight="false" outlineLevel="0" collapsed="false">
      <c r="A276" s="11"/>
      <c r="B276" s="12" t="str">
        <f aca="false">IF(A276="","",IFERROR(INDEX(Productos!$D$2:$D$1001,MATCH(A276,Productos!$A$2:$A$1001,0))&amp;" — "&amp;INDEX(Productos!$E$2:$E$1001,MATCH(A276,Productos!$A$2:$A$1001,0)),"SKU no existe en Productos"))</f>
        <v/>
      </c>
      <c r="C276" s="11"/>
      <c r="D276" s="11"/>
      <c r="E276" s="11"/>
      <c r="F276" s="12" t="str">
        <f aca="false">IF(A276="","",SUM(C276:E276))</f>
        <v/>
      </c>
      <c r="G276" s="16" t="str">
        <f aca="false">IF(A276="","",IFERROR(INDEX(Productos!$K$2:$K$1001,MATCH(A276,Productos!$A$2:$A$1001,0)),""))</f>
        <v/>
      </c>
      <c r="H276" s="16" t="str">
        <f aca="false">IF(OR(A276="",G276=""),"",F276*G276)</f>
        <v/>
      </c>
    </row>
    <row r="277" customFormat="false" ht="15" hidden="false" customHeight="false" outlineLevel="0" collapsed="false">
      <c r="A277" s="11"/>
      <c r="B277" s="12" t="str">
        <f aca="false">IF(A277="","",IFERROR(INDEX(Productos!$D$2:$D$1001,MATCH(A277,Productos!$A$2:$A$1001,0))&amp;" — "&amp;INDEX(Productos!$E$2:$E$1001,MATCH(A277,Productos!$A$2:$A$1001,0)),"SKU no existe en Productos"))</f>
        <v/>
      </c>
      <c r="C277" s="11"/>
      <c r="D277" s="11"/>
      <c r="E277" s="11"/>
      <c r="F277" s="12" t="str">
        <f aca="false">IF(A277="","",SUM(C277:E277))</f>
        <v/>
      </c>
      <c r="G277" s="16" t="str">
        <f aca="false">IF(A277="","",IFERROR(INDEX(Productos!$K$2:$K$1001,MATCH(A277,Productos!$A$2:$A$1001,0)),""))</f>
        <v/>
      </c>
      <c r="H277" s="16" t="str">
        <f aca="false">IF(OR(A277="",G277=""),"",F277*G277)</f>
        <v/>
      </c>
    </row>
    <row r="278" customFormat="false" ht="15" hidden="false" customHeight="false" outlineLevel="0" collapsed="false">
      <c r="A278" s="11"/>
      <c r="B278" s="12" t="str">
        <f aca="false">IF(A278="","",IFERROR(INDEX(Productos!$D$2:$D$1001,MATCH(A278,Productos!$A$2:$A$1001,0))&amp;" — "&amp;INDEX(Productos!$E$2:$E$1001,MATCH(A278,Productos!$A$2:$A$1001,0)),"SKU no existe en Productos"))</f>
        <v/>
      </c>
      <c r="C278" s="11"/>
      <c r="D278" s="11"/>
      <c r="E278" s="11"/>
      <c r="F278" s="12" t="str">
        <f aca="false">IF(A278="","",SUM(C278:E278))</f>
        <v/>
      </c>
      <c r="G278" s="16" t="str">
        <f aca="false">IF(A278="","",IFERROR(INDEX(Productos!$K$2:$K$1001,MATCH(A278,Productos!$A$2:$A$1001,0)),""))</f>
        <v/>
      </c>
      <c r="H278" s="16" t="str">
        <f aca="false">IF(OR(A278="",G278=""),"",F278*G278)</f>
        <v/>
      </c>
    </row>
    <row r="279" customFormat="false" ht="15" hidden="false" customHeight="false" outlineLevel="0" collapsed="false">
      <c r="A279" s="11"/>
      <c r="B279" s="12" t="str">
        <f aca="false">IF(A279="","",IFERROR(INDEX(Productos!$D$2:$D$1001,MATCH(A279,Productos!$A$2:$A$1001,0))&amp;" — "&amp;INDEX(Productos!$E$2:$E$1001,MATCH(A279,Productos!$A$2:$A$1001,0)),"SKU no existe en Productos"))</f>
        <v/>
      </c>
      <c r="C279" s="11"/>
      <c r="D279" s="11"/>
      <c r="E279" s="11"/>
      <c r="F279" s="12" t="str">
        <f aca="false">IF(A279="","",SUM(C279:E279))</f>
        <v/>
      </c>
      <c r="G279" s="16" t="str">
        <f aca="false">IF(A279="","",IFERROR(INDEX(Productos!$K$2:$K$1001,MATCH(A279,Productos!$A$2:$A$1001,0)),""))</f>
        <v/>
      </c>
      <c r="H279" s="16" t="str">
        <f aca="false">IF(OR(A279="",G279=""),"",F279*G279)</f>
        <v/>
      </c>
    </row>
    <row r="280" customFormat="false" ht="15" hidden="false" customHeight="false" outlineLevel="0" collapsed="false">
      <c r="A280" s="11"/>
      <c r="B280" s="12" t="str">
        <f aca="false">IF(A280="","",IFERROR(INDEX(Productos!$D$2:$D$1001,MATCH(A280,Productos!$A$2:$A$1001,0))&amp;" — "&amp;INDEX(Productos!$E$2:$E$1001,MATCH(A280,Productos!$A$2:$A$1001,0)),"SKU no existe en Productos"))</f>
        <v/>
      </c>
      <c r="C280" s="11"/>
      <c r="D280" s="11"/>
      <c r="E280" s="11"/>
      <c r="F280" s="12" t="str">
        <f aca="false">IF(A280="","",SUM(C280:E280))</f>
        <v/>
      </c>
      <c r="G280" s="16" t="str">
        <f aca="false">IF(A280="","",IFERROR(INDEX(Productos!$K$2:$K$1001,MATCH(A280,Productos!$A$2:$A$1001,0)),""))</f>
        <v/>
      </c>
      <c r="H280" s="16" t="str">
        <f aca="false">IF(OR(A280="",G280=""),"",F280*G280)</f>
        <v/>
      </c>
    </row>
    <row r="281" customFormat="false" ht="15" hidden="false" customHeight="false" outlineLevel="0" collapsed="false">
      <c r="A281" s="11"/>
      <c r="B281" s="12" t="str">
        <f aca="false">IF(A281="","",IFERROR(INDEX(Productos!$D$2:$D$1001,MATCH(A281,Productos!$A$2:$A$1001,0))&amp;" — "&amp;INDEX(Productos!$E$2:$E$1001,MATCH(A281,Productos!$A$2:$A$1001,0)),"SKU no existe en Productos"))</f>
        <v/>
      </c>
      <c r="C281" s="11"/>
      <c r="D281" s="11"/>
      <c r="E281" s="11"/>
      <c r="F281" s="12" t="str">
        <f aca="false">IF(A281="","",SUM(C281:E281))</f>
        <v/>
      </c>
      <c r="G281" s="16" t="str">
        <f aca="false">IF(A281="","",IFERROR(INDEX(Productos!$K$2:$K$1001,MATCH(A281,Productos!$A$2:$A$1001,0)),""))</f>
        <v/>
      </c>
      <c r="H281" s="16" t="str">
        <f aca="false">IF(OR(A281="",G281=""),"",F281*G281)</f>
        <v/>
      </c>
    </row>
    <row r="282" customFormat="false" ht="15" hidden="false" customHeight="false" outlineLevel="0" collapsed="false">
      <c r="A282" s="11"/>
      <c r="B282" s="12" t="str">
        <f aca="false">IF(A282="","",IFERROR(INDEX(Productos!$D$2:$D$1001,MATCH(A282,Productos!$A$2:$A$1001,0))&amp;" — "&amp;INDEX(Productos!$E$2:$E$1001,MATCH(A282,Productos!$A$2:$A$1001,0)),"SKU no existe en Productos"))</f>
        <v/>
      </c>
      <c r="C282" s="11"/>
      <c r="D282" s="11"/>
      <c r="E282" s="11"/>
      <c r="F282" s="12" t="str">
        <f aca="false">IF(A282="","",SUM(C282:E282))</f>
        <v/>
      </c>
      <c r="G282" s="16" t="str">
        <f aca="false">IF(A282="","",IFERROR(INDEX(Productos!$K$2:$K$1001,MATCH(A282,Productos!$A$2:$A$1001,0)),""))</f>
        <v/>
      </c>
      <c r="H282" s="16" t="str">
        <f aca="false">IF(OR(A282="",G282=""),"",F282*G282)</f>
        <v/>
      </c>
    </row>
    <row r="283" customFormat="false" ht="15" hidden="false" customHeight="false" outlineLevel="0" collapsed="false">
      <c r="A283" s="11"/>
      <c r="B283" s="12" t="str">
        <f aca="false">IF(A283="","",IFERROR(INDEX(Productos!$D$2:$D$1001,MATCH(A283,Productos!$A$2:$A$1001,0))&amp;" — "&amp;INDEX(Productos!$E$2:$E$1001,MATCH(A283,Productos!$A$2:$A$1001,0)),"SKU no existe en Productos"))</f>
        <v/>
      </c>
      <c r="C283" s="11"/>
      <c r="D283" s="11"/>
      <c r="E283" s="11"/>
      <c r="F283" s="12" t="str">
        <f aca="false">IF(A283="","",SUM(C283:E283))</f>
        <v/>
      </c>
      <c r="G283" s="16" t="str">
        <f aca="false">IF(A283="","",IFERROR(INDEX(Productos!$K$2:$K$1001,MATCH(A283,Productos!$A$2:$A$1001,0)),""))</f>
        <v/>
      </c>
      <c r="H283" s="16" t="str">
        <f aca="false">IF(OR(A283="",G283=""),"",F283*G283)</f>
        <v/>
      </c>
    </row>
    <row r="284" customFormat="false" ht="15" hidden="false" customHeight="false" outlineLevel="0" collapsed="false">
      <c r="A284" s="11"/>
      <c r="B284" s="12" t="str">
        <f aca="false">IF(A284="","",IFERROR(INDEX(Productos!$D$2:$D$1001,MATCH(A284,Productos!$A$2:$A$1001,0))&amp;" — "&amp;INDEX(Productos!$E$2:$E$1001,MATCH(A284,Productos!$A$2:$A$1001,0)),"SKU no existe en Productos"))</f>
        <v/>
      </c>
      <c r="C284" s="11"/>
      <c r="D284" s="11"/>
      <c r="E284" s="11"/>
      <c r="F284" s="12" t="str">
        <f aca="false">IF(A284="","",SUM(C284:E284))</f>
        <v/>
      </c>
      <c r="G284" s="16" t="str">
        <f aca="false">IF(A284="","",IFERROR(INDEX(Productos!$K$2:$K$1001,MATCH(A284,Productos!$A$2:$A$1001,0)),""))</f>
        <v/>
      </c>
      <c r="H284" s="16" t="str">
        <f aca="false">IF(OR(A284="",G284=""),"",F284*G284)</f>
        <v/>
      </c>
    </row>
    <row r="285" customFormat="false" ht="15" hidden="false" customHeight="false" outlineLevel="0" collapsed="false">
      <c r="A285" s="11"/>
      <c r="B285" s="12" t="str">
        <f aca="false">IF(A285="","",IFERROR(INDEX(Productos!$D$2:$D$1001,MATCH(A285,Productos!$A$2:$A$1001,0))&amp;" — "&amp;INDEX(Productos!$E$2:$E$1001,MATCH(A285,Productos!$A$2:$A$1001,0)),"SKU no existe en Productos"))</f>
        <v/>
      </c>
      <c r="C285" s="11"/>
      <c r="D285" s="11"/>
      <c r="E285" s="11"/>
      <c r="F285" s="12" t="str">
        <f aca="false">IF(A285="","",SUM(C285:E285))</f>
        <v/>
      </c>
      <c r="G285" s="16" t="str">
        <f aca="false">IF(A285="","",IFERROR(INDEX(Productos!$K$2:$K$1001,MATCH(A285,Productos!$A$2:$A$1001,0)),""))</f>
        <v/>
      </c>
      <c r="H285" s="16" t="str">
        <f aca="false">IF(OR(A285="",G285=""),"",F285*G285)</f>
        <v/>
      </c>
    </row>
    <row r="286" customFormat="false" ht="15" hidden="false" customHeight="false" outlineLevel="0" collapsed="false">
      <c r="A286" s="11"/>
      <c r="B286" s="12" t="str">
        <f aca="false">IF(A286="","",IFERROR(INDEX(Productos!$D$2:$D$1001,MATCH(A286,Productos!$A$2:$A$1001,0))&amp;" — "&amp;INDEX(Productos!$E$2:$E$1001,MATCH(A286,Productos!$A$2:$A$1001,0)),"SKU no existe en Productos"))</f>
        <v/>
      </c>
      <c r="C286" s="11"/>
      <c r="D286" s="11"/>
      <c r="E286" s="11"/>
      <c r="F286" s="12" t="str">
        <f aca="false">IF(A286="","",SUM(C286:E286))</f>
        <v/>
      </c>
      <c r="G286" s="16" t="str">
        <f aca="false">IF(A286="","",IFERROR(INDEX(Productos!$K$2:$K$1001,MATCH(A286,Productos!$A$2:$A$1001,0)),""))</f>
        <v/>
      </c>
      <c r="H286" s="16" t="str">
        <f aca="false">IF(OR(A286="",G286=""),"",F286*G286)</f>
        <v/>
      </c>
    </row>
    <row r="287" customFormat="false" ht="15" hidden="false" customHeight="false" outlineLevel="0" collapsed="false">
      <c r="A287" s="11"/>
      <c r="B287" s="12" t="str">
        <f aca="false">IF(A287="","",IFERROR(INDEX(Productos!$D$2:$D$1001,MATCH(A287,Productos!$A$2:$A$1001,0))&amp;" — "&amp;INDEX(Productos!$E$2:$E$1001,MATCH(A287,Productos!$A$2:$A$1001,0)),"SKU no existe en Productos"))</f>
        <v/>
      </c>
      <c r="C287" s="11"/>
      <c r="D287" s="11"/>
      <c r="E287" s="11"/>
      <c r="F287" s="12" t="str">
        <f aca="false">IF(A287="","",SUM(C287:E287))</f>
        <v/>
      </c>
      <c r="G287" s="16" t="str">
        <f aca="false">IF(A287="","",IFERROR(INDEX(Productos!$K$2:$K$1001,MATCH(A287,Productos!$A$2:$A$1001,0)),""))</f>
        <v/>
      </c>
      <c r="H287" s="16" t="str">
        <f aca="false">IF(OR(A287="",G287=""),"",F287*G287)</f>
        <v/>
      </c>
    </row>
    <row r="288" customFormat="false" ht="15" hidden="false" customHeight="false" outlineLevel="0" collapsed="false">
      <c r="A288" s="11"/>
      <c r="B288" s="12" t="str">
        <f aca="false">IF(A288="","",IFERROR(INDEX(Productos!$D$2:$D$1001,MATCH(A288,Productos!$A$2:$A$1001,0))&amp;" — "&amp;INDEX(Productos!$E$2:$E$1001,MATCH(A288,Productos!$A$2:$A$1001,0)),"SKU no existe en Productos"))</f>
        <v/>
      </c>
      <c r="C288" s="11"/>
      <c r="D288" s="11"/>
      <c r="E288" s="11"/>
      <c r="F288" s="12" t="str">
        <f aca="false">IF(A288="","",SUM(C288:E288))</f>
        <v/>
      </c>
      <c r="G288" s="16" t="str">
        <f aca="false">IF(A288="","",IFERROR(INDEX(Productos!$K$2:$K$1001,MATCH(A288,Productos!$A$2:$A$1001,0)),""))</f>
        <v/>
      </c>
      <c r="H288" s="16" t="str">
        <f aca="false">IF(OR(A288="",G288=""),"",F288*G288)</f>
        <v/>
      </c>
    </row>
    <row r="289" customFormat="false" ht="15" hidden="false" customHeight="false" outlineLevel="0" collapsed="false">
      <c r="A289" s="11"/>
      <c r="B289" s="12" t="str">
        <f aca="false">IF(A289="","",IFERROR(INDEX(Productos!$D$2:$D$1001,MATCH(A289,Productos!$A$2:$A$1001,0))&amp;" — "&amp;INDEX(Productos!$E$2:$E$1001,MATCH(A289,Productos!$A$2:$A$1001,0)),"SKU no existe en Productos"))</f>
        <v/>
      </c>
      <c r="C289" s="11"/>
      <c r="D289" s="11"/>
      <c r="E289" s="11"/>
      <c r="F289" s="12" t="str">
        <f aca="false">IF(A289="","",SUM(C289:E289))</f>
        <v/>
      </c>
      <c r="G289" s="16" t="str">
        <f aca="false">IF(A289="","",IFERROR(INDEX(Productos!$K$2:$K$1001,MATCH(A289,Productos!$A$2:$A$1001,0)),""))</f>
        <v/>
      </c>
      <c r="H289" s="16" t="str">
        <f aca="false">IF(OR(A289="",G289=""),"",F289*G289)</f>
        <v/>
      </c>
    </row>
    <row r="290" customFormat="false" ht="15" hidden="false" customHeight="false" outlineLevel="0" collapsed="false">
      <c r="A290" s="11"/>
      <c r="B290" s="12" t="str">
        <f aca="false">IF(A290="","",IFERROR(INDEX(Productos!$D$2:$D$1001,MATCH(A290,Productos!$A$2:$A$1001,0))&amp;" — "&amp;INDEX(Productos!$E$2:$E$1001,MATCH(A290,Productos!$A$2:$A$1001,0)),"SKU no existe en Productos"))</f>
        <v/>
      </c>
      <c r="C290" s="11"/>
      <c r="D290" s="11"/>
      <c r="E290" s="11"/>
      <c r="F290" s="12" t="str">
        <f aca="false">IF(A290="","",SUM(C290:E290))</f>
        <v/>
      </c>
      <c r="G290" s="16" t="str">
        <f aca="false">IF(A290="","",IFERROR(INDEX(Productos!$K$2:$K$1001,MATCH(A290,Productos!$A$2:$A$1001,0)),""))</f>
        <v/>
      </c>
      <c r="H290" s="16" t="str">
        <f aca="false">IF(OR(A290="",G290=""),"",F290*G290)</f>
        <v/>
      </c>
    </row>
    <row r="291" customFormat="false" ht="15" hidden="false" customHeight="false" outlineLevel="0" collapsed="false">
      <c r="A291" s="11"/>
      <c r="B291" s="12" t="str">
        <f aca="false">IF(A291="","",IFERROR(INDEX(Productos!$D$2:$D$1001,MATCH(A291,Productos!$A$2:$A$1001,0))&amp;" — "&amp;INDEX(Productos!$E$2:$E$1001,MATCH(A291,Productos!$A$2:$A$1001,0)),"SKU no existe en Productos"))</f>
        <v/>
      </c>
      <c r="C291" s="11"/>
      <c r="D291" s="11"/>
      <c r="E291" s="11"/>
      <c r="F291" s="12" t="str">
        <f aca="false">IF(A291="","",SUM(C291:E291))</f>
        <v/>
      </c>
      <c r="G291" s="16" t="str">
        <f aca="false">IF(A291="","",IFERROR(INDEX(Productos!$K$2:$K$1001,MATCH(A291,Productos!$A$2:$A$1001,0)),""))</f>
        <v/>
      </c>
      <c r="H291" s="16" t="str">
        <f aca="false">IF(OR(A291="",G291=""),"",F291*G291)</f>
        <v/>
      </c>
    </row>
    <row r="292" customFormat="false" ht="15" hidden="false" customHeight="false" outlineLevel="0" collapsed="false">
      <c r="A292" s="11"/>
      <c r="B292" s="12" t="str">
        <f aca="false">IF(A292="","",IFERROR(INDEX(Productos!$D$2:$D$1001,MATCH(A292,Productos!$A$2:$A$1001,0))&amp;" — "&amp;INDEX(Productos!$E$2:$E$1001,MATCH(A292,Productos!$A$2:$A$1001,0)),"SKU no existe en Productos"))</f>
        <v/>
      </c>
      <c r="C292" s="11"/>
      <c r="D292" s="11"/>
      <c r="E292" s="11"/>
      <c r="F292" s="12" t="str">
        <f aca="false">IF(A292="","",SUM(C292:E292))</f>
        <v/>
      </c>
      <c r="G292" s="16" t="str">
        <f aca="false">IF(A292="","",IFERROR(INDEX(Productos!$K$2:$K$1001,MATCH(A292,Productos!$A$2:$A$1001,0)),""))</f>
        <v/>
      </c>
      <c r="H292" s="16" t="str">
        <f aca="false">IF(OR(A292="",G292=""),"",F292*G292)</f>
        <v/>
      </c>
    </row>
    <row r="293" customFormat="false" ht="15" hidden="false" customHeight="false" outlineLevel="0" collapsed="false">
      <c r="A293" s="11"/>
      <c r="B293" s="12" t="str">
        <f aca="false">IF(A293="","",IFERROR(INDEX(Productos!$D$2:$D$1001,MATCH(A293,Productos!$A$2:$A$1001,0))&amp;" — "&amp;INDEX(Productos!$E$2:$E$1001,MATCH(A293,Productos!$A$2:$A$1001,0)),"SKU no existe en Productos"))</f>
        <v/>
      </c>
      <c r="C293" s="11"/>
      <c r="D293" s="11"/>
      <c r="E293" s="11"/>
      <c r="F293" s="12" t="str">
        <f aca="false">IF(A293="","",SUM(C293:E293))</f>
        <v/>
      </c>
      <c r="G293" s="16" t="str">
        <f aca="false">IF(A293="","",IFERROR(INDEX(Productos!$K$2:$K$1001,MATCH(A293,Productos!$A$2:$A$1001,0)),""))</f>
        <v/>
      </c>
      <c r="H293" s="16" t="str">
        <f aca="false">IF(OR(A293="",G293=""),"",F293*G293)</f>
        <v/>
      </c>
    </row>
    <row r="294" customFormat="false" ht="15" hidden="false" customHeight="false" outlineLevel="0" collapsed="false">
      <c r="A294" s="11"/>
      <c r="B294" s="12" t="str">
        <f aca="false">IF(A294="","",IFERROR(INDEX(Productos!$D$2:$D$1001,MATCH(A294,Productos!$A$2:$A$1001,0))&amp;" — "&amp;INDEX(Productos!$E$2:$E$1001,MATCH(A294,Productos!$A$2:$A$1001,0)),"SKU no existe en Productos"))</f>
        <v/>
      </c>
      <c r="C294" s="11"/>
      <c r="D294" s="11"/>
      <c r="E294" s="11"/>
      <c r="F294" s="12" t="str">
        <f aca="false">IF(A294="","",SUM(C294:E294))</f>
        <v/>
      </c>
      <c r="G294" s="16" t="str">
        <f aca="false">IF(A294="","",IFERROR(INDEX(Productos!$K$2:$K$1001,MATCH(A294,Productos!$A$2:$A$1001,0)),""))</f>
        <v/>
      </c>
      <c r="H294" s="16" t="str">
        <f aca="false">IF(OR(A294="",G294=""),"",F294*G294)</f>
        <v/>
      </c>
    </row>
    <row r="295" customFormat="false" ht="15" hidden="false" customHeight="false" outlineLevel="0" collapsed="false">
      <c r="A295" s="11"/>
      <c r="B295" s="12" t="str">
        <f aca="false">IF(A295="","",IFERROR(INDEX(Productos!$D$2:$D$1001,MATCH(A295,Productos!$A$2:$A$1001,0))&amp;" — "&amp;INDEX(Productos!$E$2:$E$1001,MATCH(A295,Productos!$A$2:$A$1001,0)),"SKU no existe en Productos"))</f>
        <v/>
      </c>
      <c r="C295" s="11"/>
      <c r="D295" s="11"/>
      <c r="E295" s="11"/>
      <c r="F295" s="12" t="str">
        <f aca="false">IF(A295="","",SUM(C295:E295))</f>
        <v/>
      </c>
      <c r="G295" s="16" t="str">
        <f aca="false">IF(A295="","",IFERROR(INDEX(Productos!$K$2:$K$1001,MATCH(A295,Productos!$A$2:$A$1001,0)),""))</f>
        <v/>
      </c>
      <c r="H295" s="16" t="str">
        <f aca="false">IF(OR(A295="",G295=""),"",F295*G295)</f>
        <v/>
      </c>
    </row>
    <row r="296" customFormat="false" ht="15" hidden="false" customHeight="false" outlineLevel="0" collapsed="false">
      <c r="A296" s="11"/>
      <c r="B296" s="12" t="str">
        <f aca="false">IF(A296="","",IFERROR(INDEX(Productos!$D$2:$D$1001,MATCH(A296,Productos!$A$2:$A$1001,0))&amp;" — "&amp;INDEX(Productos!$E$2:$E$1001,MATCH(A296,Productos!$A$2:$A$1001,0)),"SKU no existe en Productos"))</f>
        <v/>
      </c>
      <c r="C296" s="11"/>
      <c r="D296" s="11"/>
      <c r="E296" s="11"/>
      <c r="F296" s="12" t="str">
        <f aca="false">IF(A296="","",SUM(C296:E296))</f>
        <v/>
      </c>
      <c r="G296" s="16" t="str">
        <f aca="false">IF(A296="","",IFERROR(INDEX(Productos!$K$2:$K$1001,MATCH(A296,Productos!$A$2:$A$1001,0)),""))</f>
        <v/>
      </c>
      <c r="H296" s="16" t="str">
        <f aca="false">IF(OR(A296="",G296=""),"",F296*G296)</f>
        <v/>
      </c>
    </row>
    <row r="297" customFormat="false" ht="15" hidden="false" customHeight="false" outlineLevel="0" collapsed="false">
      <c r="A297" s="11"/>
      <c r="B297" s="12" t="str">
        <f aca="false">IF(A297="","",IFERROR(INDEX(Productos!$D$2:$D$1001,MATCH(A297,Productos!$A$2:$A$1001,0))&amp;" — "&amp;INDEX(Productos!$E$2:$E$1001,MATCH(A297,Productos!$A$2:$A$1001,0)),"SKU no existe en Productos"))</f>
        <v/>
      </c>
      <c r="C297" s="11"/>
      <c r="D297" s="11"/>
      <c r="E297" s="11"/>
      <c r="F297" s="12" t="str">
        <f aca="false">IF(A297="","",SUM(C297:E297))</f>
        <v/>
      </c>
      <c r="G297" s="16" t="str">
        <f aca="false">IF(A297="","",IFERROR(INDEX(Productos!$K$2:$K$1001,MATCH(A297,Productos!$A$2:$A$1001,0)),""))</f>
        <v/>
      </c>
      <c r="H297" s="16" t="str">
        <f aca="false">IF(OR(A297="",G297=""),"",F297*G297)</f>
        <v/>
      </c>
    </row>
    <row r="298" customFormat="false" ht="15" hidden="false" customHeight="false" outlineLevel="0" collapsed="false">
      <c r="A298" s="11"/>
      <c r="B298" s="12" t="str">
        <f aca="false">IF(A298="","",IFERROR(INDEX(Productos!$D$2:$D$1001,MATCH(A298,Productos!$A$2:$A$1001,0))&amp;" — "&amp;INDEX(Productos!$E$2:$E$1001,MATCH(A298,Productos!$A$2:$A$1001,0)),"SKU no existe en Productos"))</f>
        <v/>
      </c>
      <c r="C298" s="11"/>
      <c r="D298" s="11"/>
      <c r="E298" s="11"/>
      <c r="F298" s="12" t="str">
        <f aca="false">IF(A298="","",SUM(C298:E298))</f>
        <v/>
      </c>
      <c r="G298" s="16" t="str">
        <f aca="false">IF(A298="","",IFERROR(INDEX(Productos!$K$2:$K$1001,MATCH(A298,Productos!$A$2:$A$1001,0)),""))</f>
        <v/>
      </c>
      <c r="H298" s="16" t="str">
        <f aca="false">IF(OR(A298="",G298=""),"",F298*G298)</f>
        <v/>
      </c>
    </row>
    <row r="299" customFormat="false" ht="15" hidden="false" customHeight="false" outlineLevel="0" collapsed="false">
      <c r="A299" s="11"/>
      <c r="B299" s="12" t="str">
        <f aca="false">IF(A299="","",IFERROR(INDEX(Productos!$D$2:$D$1001,MATCH(A299,Productos!$A$2:$A$1001,0))&amp;" — "&amp;INDEX(Productos!$E$2:$E$1001,MATCH(A299,Productos!$A$2:$A$1001,0)),"SKU no existe en Productos"))</f>
        <v/>
      </c>
      <c r="C299" s="11"/>
      <c r="D299" s="11"/>
      <c r="E299" s="11"/>
      <c r="F299" s="12" t="str">
        <f aca="false">IF(A299="","",SUM(C299:E299))</f>
        <v/>
      </c>
      <c r="G299" s="16" t="str">
        <f aca="false">IF(A299="","",IFERROR(INDEX(Productos!$K$2:$K$1001,MATCH(A299,Productos!$A$2:$A$1001,0)),""))</f>
        <v/>
      </c>
      <c r="H299" s="16" t="str">
        <f aca="false">IF(OR(A299="",G299=""),"",F299*G299)</f>
        <v/>
      </c>
    </row>
    <row r="300" customFormat="false" ht="15" hidden="false" customHeight="false" outlineLevel="0" collapsed="false">
      <c r="A300" s="11"/>
      <c r="B300" s="12" t="str">
        <f aca="false">IF(A300="","",IFERROR(INDEX(Productos!$D$2:$D$1001,MATCH(A300,Productos!$A$2:$A$1001,0))&amp;" — "&amp;INDEX(Productos!$E$2:$E$1001,MATCH(A300,Productos!$A$2:$A$1001,0)),"SKU no existe en Productos"))</f>
        <v/>
      </c>
      <c r="C300" s="11"/>
      <c r="D300" s="11"/>
      <c r="E300" s="11"/>
      <c r="F300" s="12" t="str">
        <f aca="false">IF(A300="","",SUM(C300:E300))</f>
        <v/>
      </c>
      <c r="G300" s="16" t="str">
        <f aca="false">IF(A300="","",IFERROR(INDEX(Productos!$K$2:$K$1001,MATCH(A300,Productos!$A$2:$A$1001,0)),""))</f>
        <v/>
      </c>
      <c r="H300" s="16" t="str">
        <f aca="false">IF(OR(A300="",G300=""),"",F300*G300)</f>
        <v/>
      </c>
    </row>
    <row r="301" customFormat="false" ht="15" hidden="false" customHeight="false" outlineLevel="0" collapsed="false">
      <c r="A301" s="11"/>
      <c r="B301" s="12" t="str">
        <f aca="false">IF(A301="","",IFERROR(INDEX(Productos!$D$2:$D$1001,MATCH(A301,Productos!$A$2:$A$1001,0))&amp;" — "&amp;INDEX(Productos!$E$2:$E$1001,MATCH(A301,Productos!$A$2:$A$1001,0)),"SKU no existe en Productos"))</f>
        <v/>
      </c>
      <c r="C301" s="11"/>
      <c r="D301" s="11"/>
      <c r="E301" s="11"/>
      <c r="F301" s="12" t="str">
        <f aca="false">IF(A301="","",SUM(C301:E301))</f>
        <v/>
      </c>
      <c r="G301" s="16" t="str">
        <f aca="false">IF(A301="","",IFERROR(INDEX(Productos!$K$2:$K$1001,MATCH(A301,Productos!$A$2:$A$1001,0)),""))</f>
        <v/>
      </c>
      <c r="H301" s="16" t="str">
        <f aca="false">IF(OR(A301="",G301=""),"",F301*G301)</f>
        <v/>
      </c>
    </row>
    <row r="302" customFormat="false" ht="15" hidden="false" customHeight="false" outlineLevel="0" collapsed="false">
      <c r="A302" s="11"/>
      <c r="B302" s="12" t="str">
        <f aca="false">IF(A302="","",IFERROR(INDEX(Productos!$D$2:$D$1001,MATCH(A302,Productos!$A$2:$A$1001,0))&amp;" — "&amp;INDEX(Productos!$E$2:$E$1001,MATCH(A302,Productos!$A$2:$A$1001,0)),"SKU no existe en Productos"))</f>
        <v/>
      </c>
      <c r="C302" s="11"/>
      <c r="D302" s="11"/>
      <c r="E302" s="11"/>
      <c r="F302" s="12" t="str">
        <f aca="false">IF(A302="","",SUM(C302:E302))</f>
        <v/>
      </c>
      <c r="G302" s="16" t="str">
        <f aca="false">IF(A302="","",IFERROR(INDEX(Productos!$K$2:$K$1001,MATCH(A302,Productos!$A$2:$A$1001,0)),""))</f>
        <v/>
      </c>
      <c r="H302" s="16" t="str">
        <f aca="false">IF(OR(A302="",G302=""),"",F302*G302)</f>
        <v/>
      </c>
    </row>
    <row r="303" customFormat="false" ht="15" hidden="false" customHeight="false" outlineLevel="0" collapsed="false">
      <c r="A303" s="11"/>
      <c r="B303" s="12" t="str">
        <f aca="false">IF(A303="","",IFERROR(INDEX(Productos!$D$2:$D$1001,MATCH(A303,Productos!$A$2:$A$1001,0))&amp;" — "&amp;INDEX(Productos!$E$2:$E$1001,MATCH(A303,Productos!$A$2:$A$1001,0)),"SKU no existe en Productos"))</f>
        <v/>
      </c>
      <c r="C303" s="11"/>
      <c r="D303" s="11"/>
      <c r="E303" s="11"/>
      <c r="F303" s="12" t="str">
        <f aca="false">IF(A303="","",SUM(C303:E303))</f>
        <v/>
      </c>
      <c r="G303" s="16" t="str">
        <f aca="false">IF(A303="","",IFERROR(INDEX(Productos!$K$2:$K$1001,MATCH(A303,Productos!$A$2:$A$1001,0)),""))</f>
        <v/>
      </c>
      <c r="H303" s="16" t="str">
        <f aca="false">IF(OR(A303="",G303=""),"",F303*G303)</f>
        <v/>
      </c>
    </row>
    <row r="304" customFormat="false" ht="15" hidden="false" customHeight="false" outlineLevel="0" collapsed="false">
      <c r="A304" s="11"/>
      <c r="B304" s="12" t="str">
        <f aca="false">IF(A304="","",IFERROR(INDEX(Productos!$D$2:$D$1001,MATCH(A304,Productos!$A$2:$A$1001,0))&amp;" — "&amp;INDEX(Productos!$E$2:$E$1001,MATCH(A304,Productos!$A$2:$A$1001,0)),"SKU no existe en Productos"))</f>
        <v/>
      </c>
      <c r="C304" s="11"/>
      <c r="D304" s="11"/>
      <c r="E304" s="11"/>
      <c r="F304" s="12" t="str">
        <f aca="false">IF(A304="","",SUM(C304:E304))</f>
        <v/>
      </c>
      <c r="G304" s="16" t="str">
        <f aca="false">IF(A304="","",IFERROR(INDEX(Productos!$K$2:$K$1001,MATCH(A304,Productos!$A$2:$A$1001,0)),""))</f>
        <v/>
      </c>
      <c r="H304" s="16" t="str">
        <f aca="false">IF(OR(A304="",G304=""),"",F304*G304)</f>
        <v/>
      </c>
    </row>
    <row r="305" customFormat="false" ht="15" hidden="false" customHeight="false" outlineLevel="0" collapsed="false">
      <c r="A305" s="11"/>
      <c r="B305" s="12" t="str">
        <f aca="false">IF(A305="","",IFERROR(INDEX(Productos!$D$2:$D$1001,MATCH(A305,Productos!$A$2:$A$1001,0))&amp;" — "&amp;INDEX(Productos!$E$2:$E$1001,MATCH(A305,Productos!$A$2:$A$1001,0)),"SKU no existe en Productos"))</f>
        <v/>
      </c>
      <c r="C305" s="11"/>
      <c r="D305" s="11"/>
      <c r="E305" s="11"/>
      <c r="F305" s="12" t="str">
        <f aca="false">IF(A305="","",SUM(C305:E305))</f>
        <v/>
      </c>
      <c r="G305" s="16" t="str">
        <f aca="false">IF(A305="","",IFERROR(INDEX(Productos!$K$2:$K$1001,MATCH(A305,Productos!$A$2:$A$1001,0)),""))</f>
        <v/>
      </c>
      <c r="H305" s="16" t="str">
        <f aca="false">IF(OR(A305="",G305=""),"",F305*G305)</f>
        <v/>
      </c>
    </row>
    <row r="306" customFormat="false" ht="15" hidden="false" customHeight="false" outlineLevel="0" collapsed="false">
      <c r="A306" s="11"/>
      <c r="B306" s="12" t="str">
        <f aca="false">IF(A306="","",IFERROR(INDEX(Productos!$D$2:$D$1001,MATCH(A306,Productos!$A$2:$A$1001,0))&amp;" — "&amp;INDEX(Productos!$E$2:$E$1001,MATCH(A306,Productos!$A$2:$A$1001,0)),"SKU no existe en Productos"))</f>
        <v/>
      </c>
      <c r="C306" s="11"/>
      <c r="D306" s="11"/>
      <c r="E306" s="11"/>
      <c r="F306" s="12" t="str">
        <f aca="false">IF(A306="","",SUM(C306:E306))</f>
        <v/>
      </c>
      <c r="G306" s="16" t="str">
        <f aca="false">IF(A306="","",IFERROR(INDEX(Productos!$K$2:$K$1001,MATCH(A306,Productos!$A$2:$A$1001,0)),""))</f>
        <v/>
      </c>
      <c r="H306" s="16" t="str">
        <f aca="false">IF(OR(A306="",G306=""),"",F306*G306)</f>
        <v/>
      </c>
    </row>
    <row r="307" customFormat="false" ht="15" hidden="false" customHeight="false" outlineLevel="0" collapsed="false">
      <c r="A307" s="11"/>
      <c r="B307" s="12" t="str">
        <f aca="false">IF(A307="","",IFERROR(INDEX(Productos!$D$2:$D$1001,MATCH(A307,Productos!$A$2:$A$1001,0))&amp;" — "&amp;INDEX(Productos!$E$2:$E$1001,MATCH(A307,Productos!$A$2:$A$1001,0)),"SKU no existe en Productos"))</f>
        <v/>
      </c>
      <c r="C307" s="11"/>
      <c r="D307" s="11"/>
      <c r="E307" s="11"/>
      <c r="F307" s="12" t="str">
        <f aca="false">IF(A307="","",SUM(C307:E307))</f>
        <v/>
      </c>
      <c r="G307" s="16" t="str">
        <f aca="false">IF(A307="","",IFERROR(INDEX(Productos!$K$2:$K$1001,MATCH(A307,Productos!$A$2:$A$1001,0)),""))</f>
        <v/>
      </c>
      <c r="H307" s="16" t="str">
        <f aca="false">IF(OR(A307="",G307=""),"",F307*G307)</f>
        <v/>
      </c>
    </row>
    <row r="308" customFormat="false" ht="15" hidden="false" customHeight="false" outlineLevel="0" collapsed="false">
      <c r="A308" s="11"/>
      <c r="B308" s="12" t="str">
        <f aca="false">IF(A308="","",IFERROR(INDEX(Productos!$D$2:$D$1001,MATCH(A308,Productos!$A$2:$A$1001,0))&amp;" — "&amp;INDEX(Productos!$E$2:$E$1001,MATCH(A308,Productos!$A$2:$A$1001,0)),"SKU no existe en Productos"))</f>
        <v/>
      </c>
      <c r="C308" s="11"/>
      <c r="D308" s="11"/>
      <c r="E308" s="11"/>
      <c r="F308" s="12" t="str">
        <f aca="false">IF(A308="","",SUM(C308:E308))</f>
        <v/>
      </c>
      <c r="G308" s="16" t="str">
        <f aca="false">IF(A308="","",IFERROR(INDEX(Productos!$K$2:$K$1001,MATCH(A308,Productos!$A$2:$A$1001,0)),""))</f>
        <v/>
      </c>
      <c r="H308" s="16" t="str">
        <f aca="false">IF(OR(A308="",G308=""),"",F308*G308)</f>
        <v/>
      </c>
    </row>
    <row r="309" customFormat="false" ht="15" hidden="false" customHeight="false" outlineLevel="0" collapsed="false">
      <c r="A309" s="11"/>
      <c r="B309" s="12" t="str">
        <f aca="false">IF(A309="","",IFERROR(INDEX(Productos!$D$2:$D$1001,MATCH(A309,Productos!$A$2:$A$1001,0))&amp;" — "&amp;INDEX(Productos!$E$2:$E$1001,MATCH(A309,Productos!$A$2:$A$1001,0)),"SKU no existe en Productos"))</f>
        <v/>
      </c>
      <c r="C309" s="11"/>
      <c r="D309" s="11"/>
      <c r="E309" s="11"/>
      <c r="F309" s="12" t="str">
        <f aca="false">IF(A309="","",SUM(C309:E309))</f>
        <v/>
      </c>
      <c r="G309" s="16" t="str">
        <f aca="false">IF(A309="","",IFERROR(INDEX(Productos!$K$2:$K$1001,MATCH(A309,Productos!$A$2:$A$1001,0)),""))</f>
        <v/>
      </c>
      <c r="H309" s="16" t="str">
        <f aca="false">IF(OR(A309="",G309=""),"",F309*G309)</f>
        <v/>
      </c>
    </row>
    <row r="310" customFormat="false" ht="15" hidden="false" customHeight="false" outlineLevel="0" collapsed="false">
      <c r="A310" s="11"/>
      <c r="B310" s="12" t="str">
        <f aca="false">IF(A310="","",IFERROR(INDEX(Productos!$D$2:$D$1001,MATCH(A310,Productos!$A$2:$A$1001,0))&amp;" — "&amp;INDEX(Productos!$E$2:$E$1001,MATCH(A310,Productos!$A$2:$A$1001,0)),"SKU no existe en Productos"))</f>
        <v/>
      </c>
      <c r="C310" s="11"/>
      <c r="D310" s="11"/>
      <c r="E310" s="11"/>
      <c r="F310" s="12" t="str">
        <f aca="false">IF(A310="","",SUM(C310:E310))</f>
        <v/>
      </c>
      <c r="G310" s="16" t="str">
        <f aca="false">IF(A310="","",IFERROR(INDEX(Productos!$K$2:$K$1001,MATCH(A310,Productos!$A$2:$A$1001,0)),""))</f>
        <v/>
      </c>
      <c r="H310" s="16" t="str">
        <f aca="false">IF(OR(A310="",G310=""),"",F310*G310)</f>
        <v/>
      </c>
    </row>
    <row r="311" customFormat="false" ht="15" hidden="false" customHeight="false" outlineLevel="0" collapsed="false">
      <c r="A311" s="11"/>
      <c r="B311" s="12" t="str">
        <f aca="false">IF(A311="","",IFERROR(INDEX(Productos!$D$2:$D$1001,MATCH(A311,Productos!$A$2:$A$1001,0))&amp;" — "&amp;INDEX(Productos!$E$2:$E$1001,MATCH(A311,Productos!$A$2:$A$1001,0)),"SKU no existe en Productos"))</f>
        <v/>
      </c>
      <c r="C311" s="11"/>
      <c r="D311" s="11"/>
      <c r="E311" s="11"/>
      <c r="F311" s="12" t="str">
        <f aca="false">IF(A311="","",SUM(C311:E311))</f>
        <v/>
      </c>
      <c r="G311" s="16" t="str">
        <f aca="false">IF(A311="","",IFERROR(INDEX(Productos!$K$2:$K$1001,MATCH(A311,Productos!$A$2:$A$1001,0)),""))</f>
        <v/>
      </c>
      <c r="H311" s="16" t="str">
        <f aca="false">IF(OR(A311="",G311=""),"",F311*G311)</f>
        <v/>
      </c>
    </row>
    <row r="312" customFormat="false" ht="15" hidden="false" customHeight="false" outlineLevel="0" collapsed="false">
      <c r="A312" s="11"/>
      <c r="B312" s="12" t="str">
        <f aca="false">IF(A312="","",IFERROR(INDEX(Productos!$D$2:$D$1001,MATCH(A312,Productos!$A$2:$A$1001,0))&amp;" — "&amp;INDEX(Productos!$E$2:$E$1001,MATCH(A312,Productos!$A$2:$A$1001,0)),"SKU no existe en Productos"))</f>
        <v/>
      </c>
      <c r="C312" s="11"/>
      <c r="D312" s="11"/>
      <c r="E312" s="11"/>
      <c r="F312" s="12" t="str">
        <f aca="false">IF(A312="","",SUM(C312:E312))</f>
        <v/>
      </c>
      <c r="G312" s="16" t="str">
        <f aca="false">IF(A312="","",IFERROR(INDEX(Productos!$K$2:$K$1001,MATCH(A312,Productos!$A$2:$A$1001,0)),""))</f>
        <v/>
      </c>
      <c r="H312" s="16" t="str">
        <f aca="false">IF(OR(A312="",G312=""),"",F312*G312)</f>
        <v/>
      </c>
    </row>
    <row r="313" customFormat="false" ht="15" hidden="false" customHeight="false" outlineLevel="0" collapsed="false">
      <c r="A313" s="11"/>
      <c r="B313" s="12" t="str">
        <f aca="false">IF(A313="","",IFERROR(INDEX(Productos!$D$2:$D$1001,MATCH(A313,Productos!$A$2:$A$1001,0))&amp;" — "&amp;INDEX(Productos!$E$2:$E$1001,MATCH(A313,Productos!$A$2:$A$1001,0)),"SKU no existe en Productos"))</f>
        <v/>
      </c>
      <c r="C313" s="11"/>
      <c r="D313" s="11"/>
      <c r="E313" s="11"/>
      <c r="F313" s="12" t="str">
        <f aca="false">IF(A313="","",SUM(C313:E313))</f>
        <v/>
      </c>
      <c r="G313" s="16" t="str">
        <f aca="false">IF(A313="","",IFERROR(INDEX(Productos!$K$2:$K$1001,MATCH(A313,Productos!$A$2:$A$1001,0)),""))</f>
        <v/>
      </c>
      <c r="H313" s="16" t="str">
        <f aca="false">IF(OR(A313="",G313=""),"",F313*G313)</f>
        <v/>
      </c>
    </row>
    <row r="314" customFormat="false" ht="15" hidden="false" customHeight="false" outlineLevel="0" collapsed="false">
      <c r="A314" s="11"/>
      <c r="B314" s="12" t="str">
        <f aca="false">IF(A314="","",IFERROR(INDEX(Productos!$D$2:$D$1001,MATCH(A314,Productos!$A$2:$A$1001,0))&amp;" — "&amp;INDEX(Productos!$E$2:$E$1001,MATCH(A314,Productos!$A$2:$A$1001,0)),"SKU no existe en Productos"))</f>
        <v/>
      </c>
      <c r="C314" s="11"/>
      <c r="D314" s="11"/>
      <c r="E314" s="11"/>
      <c r="F314" s="12" t="str">
        <f aca="false">IF(A314="","",SUM(C314:E314))</f>
        <v/>
      </c>
      <c r="G314" s="16" t="str">
        <f aca="false">IF(A314="","",IFERROR(INDEX(Productos!$K$2:$K$1001,MATCH(A314,Productos!$A$2:$A$1001,0)),""))</f>
        <v/>
      </c>
      <c r="H314" s="16" t="str">
        <f aca="false">IF(OR(A314="",G314=""),"",F314*G314)</f>
        <v/>
      </c>
    </row>
    <row r="315" customFormat="false" ht="15" hidden="false" customHeight="false" outlineLevel="0" collapsed="false">
      <c r="A315" s="11"/>
      <c r="B315" s="12" t="str">
        <f aca="false">IF(A315="","",IFERROR(INDEX(Productos!$D$2:$D$1001,MATCH(A315,Productos!$A$2:$A$1001,0))&amp;" — "&amp;INDEX(Productos!$E$2:$E$1001,MATCH(A315,Productos!$A$2:$A$1001,0)),"SKU no existe en Productos"))</f>
        <v/>
      </c>
      <c r="C315" s="11"/>
      <c r="D315" s="11"/>
      <c r="E315" s="11"/>
      <c r="F315" s="12" t="str">
        <f aca="false">IF(A315="","",SUM(C315:E315))</f>
        <v/>
      </c>
      <c r="G315" s="16" t="str">
        <f aca="false">IF(A315="","",IFERROR(INDEX(Productos!$K$2:$K$1001,MATCH(A315,Productos!$A$2:$A$1001,0)),""))</f>
        <v/>
      </c>
      <c r="H315" s="16" t="str">
        <f aca="false">IF(OR(A315="",G315=""),"",F315*G315)</f>
        <v/>
      </c>
    </row>
    <row r="316" customFormat="false" ht="15" hidden="false" customHeight="false" outlineLevel="0" collapsed="false">
      <c r="A316" s="11"/>
      <c r="B316" s="12" t="str">
        <f aca="false">IF(A316="","",IFERROR(INDEX(Productos!$D$2:$D$1001,MATCH(A316,Productos!$A$2:$A$1001,0))&amp;" — "&amp;INDEX(Productos!$E$2:$E$1001,MATCH(A316,Productos!$A$2:$A$1001,0)),"SKU no existe en Productos"))</f>
        <v/>
      </c>
      <c r="C316" s="11"/>
      <c r="D316" s="11"/>
      <c r="E316" s="11"/>
      <c r="F316" s="12" t="str">
        <f aca="false">IF(A316="","",SUM(C316:E316))</f>
        <v/>
      </c>
      <c r="G316" s="16" t="str">
        <f aca="false">IF(A316="","",IFERROR(INDEX(Productos!$K$2:$K$1001,MATCH(A316,Productos!$A$2:$A$1001,0)),""))</f>
        <v/>
      </c>
      <c r="H316" s="16" t="str">
        <f aca="false">IF(OR(A316="",G316=""),"",F316*G316)</f>
        <v/>
      </c>
    </row>
    <row r="317" customFormat="false" ht="15" hidden="false" customHeight="false" outlineLevel="0" collapsed="false">
      <c r="A317" s="11"/>
      <c r="B317" s="12" t="str">
        <f aca="false">IF(A317="","",IFERROR(INDEX(Productos!$D$2:$D$1001,MATCH(A317,Productos!$A$2:$A$1001,0))&amp;" — "&amp;INDEX(Productos!$E$2:$E$1001,MATCH(A317,Productos!$A$2:$A$1001,0)),"SKU no existe en Productos"))</f>
        <v/>
      </c>
      <c r="C317" s="11"/>
      <c r="D317" s="11"/>
      <c r="E317" s="11"/>
      <c r="F317" s="12" t="str">
        <f aca="false">IF(A317="","",SUM(C317:E317))</f>
        <v/>
      </c>
      <c r="G317" s="16" t="str">
        <f aca="false">IF(A317="","",IFERROR(INDEX(Productos!$K$2:$K$1001,MATCH(A317,Productos!$A$2:$A$1001,0)),""))</f>
        <v/>
      </c>
      <c r="H317" s="16" t="str">
        <f aca="false">IF(OR(A317="",G317=""),"",F317*G317)</f>
        <v/>
      </c>
    </row>
    <row r="318" customFormat="false" ht="15" hidden="false" customHeight="false" outlineLevel="0" collapsed="false">
      <c r="A318" s="11"/>
      <c r="B318" s="12" t="str">
        <f aca="false">IF(A318="","",IFERROR(INDEX(Productos!$D$2:$D$1001,MATCH(A318,Productos!$A$2:$A$1001,0))&amp;" — "&amp;INDEX(Productos!$E$2:$E$1001,MATCH(A318,Productos!$A$2:$A$1001,0)),"SKU no existe en Productos"))</f>
        <v/>
      </c>
      <c r="C318" s="11"/>
      <c r="D318" s="11"/>
      <c r="E318" s="11"/>
      <c r="F318" s="12" t="str">
        <f aca="false">IF(A318="","",SUM(C318:E318))</f>
        <v/>
      </c>
      <c r="G318" s="16" t="str">
        <f aca="false">IF(A318="","",IFERROR(INDEX(Productos!$K$2:$K$1001,MATCH(A318,Productos!$A$2:$A$1001,0)),""))</f>
        <v/>
      </c>
      <c r="H318" s="16" t="str">
        <f aca="false">IF(OR(A318="",G318=""),"",F318*G318)</f>
        <v/>
      </c>
    </row>
    <row r="319" customFormat="false" ht="15" hidden="false" customHeight="false" outlineLevel="0" collapsed="false">
      <c r="A319" s="11"/>
      <c r="B319" s="12" t="str">
        <f aca="false">IF(A319="","",IFERROR(INDEX(Productos!$D$2:$D$1001,MATCH(A319,Productos!$A$2:$A$1001,0))&amp;" — "&amp;INDEX(Productos!$E$2:$E$1001,MATCH(A319,Productos!$A$2:$A$1001,0)),"SKU no existe en Productos"))</f>
        <v/>
      </c>
      <c r="C319" s="11"/>
      <c r="D319" s="11"/>
      <c r="E319" s="11"/>
      <c r="F319" s="12" t="str">
        <f aca="false">IF(A319="","",SUM(C319:E319))</f>
        <v/>
      </c>
      <c r="G319" s="16" t="str">
        <f aca="false">IF(A319="","",IFERROR(INDEX(Productos!$K$2:$K$1001,MATCH(A319,Productos!$A$2:$A$1001,0)),""))</f>
        <v/>
      </c>
      <c r="H319" s="16" t="str">
        <f aca="false">IF(OR(A319="",G319=""),"",F319*G319)</f>
        <v/>
      </c>
    </row>
    <row r="320" customFormat="false" ht="15" hidden="false" customHeight="false" outlineLevel="0" collapsed="false">
      <c r="A320" s="11"/>
      <c r="B320" s="12" t="str">
        <f aca="false">IF(A320="","",IFERROR(INDEX(Productos!$D$2:$D$1001,MATCH(A320,Productos!$A$2:$A$1001,0))&amp;" — "&amp;INDEX(Productos!$E$2:$E$1001,MATCH(A320,Productos!$A$2:$A$1001,0)),"SKU no existe en Productos"))</f>
        <v/>
      </c>
      <c r="C320" s="11"/>
      <c r="D320" s="11"/>
      <c r="E320" s="11"/>
      <c r="F320" s="12" t="str">
        <f aca="false">IF(A320="","",SUM(C320:E320))</f>
        <v/>
      </c>
      <c r="G320" s="16" t="str">
        <f aca="false">IF(A320="","",IFERROR(INDEX(Productos!$K$2:$K$1001,MATCH(A320,Productos!$A$2:$A$1001,0)),""))</f>
        <v/>
      </c>
      <c r="H320" s="16" t="str">
        <f aca="false">IF(OR(A320="",G320=""),"",F320*G320)</f>
        <v/>
      </c>
    </row>
    <row r="321" customFormat="false" ht="15" hidden="false" customHeight="false" outlineLevel="0" collapsed="false">
      <c r="A321" s="11"/>
      <c r="B321" s="12" t="str">
        <f aca="false">IF(A321="","",IFERROR(INDEX(Productos!$D$2:$D$1001,MATCH(A321,Productos!$A$2:$A$1001,0))&amp;" — "&amp;INDEX(Productos!$E$2:$E$1001,MATCH(A321,Productos!$A$2:$A$1001,0)),"SKU no existe en Productos"))</f>
        <v/>
      </c>
      <c r="C321" s="11"/>
      <c r="D321" s="11"/>
      <c r="E321" s="11"/>
      <c r="F321" s="12" t="str">
        <f aca="false">IF(A321="","",SUM(C321:E321))</f>
        <v/>
      </c>
      <c r="G321" s="16" t="str">
        <f aca="false">IF(A321="","",IFERROR(INDEX(Productos!$K$2:$K$1001,MATCH(A321,Productos!$A$2:$A$1001,0)),""))</f>
        <v/>
      </c>
      <c r="H321" s="16" t="str">
        <f aca="false">IF(OR(A321="",G321=""),"",F321*G321)</f>
        <v/>
      </c>
    </row>
    <row r="322" customFormat="false" ht="15" hidden="false" customHeight="false" outlineLevel="0" collapsed="false">
      <c r="A322" s="11"/>
      <c r="B322" s="12" t="str">
        <f aca="false">IF(A322="","",IFERROR(INDEX(Productos!$D$2:$D$1001,MATCH(A322,Productos!$A$2:$A$1001,0))&amp;" — "&amp;INDEX(Productos!$E$2:$E$1001,MATCH(A322,Productos!$A$2:$A$1001,0)),"SKU no existe en Productos"))</f>
        <v/>
      </c>
      <c r="C322" s="11"/>
      <c r="D322" s="11"/>
      <c r="E322" s="11"/>
      <c r="F322" s="12" t="str">
        <f aca="false">IF(A322="","",SUM(C322:E322))</f>
        <v/>
      </c>
      <c r="G322" s="16" t="str">
        <f aca="false">IF(A322="","",IFERROR(INDEX(Productos!$K$2:$K$1001,MATCH(A322,Productos!$A$2:$A$1001,0)),""))</f>
        <v/>
      </c>
      <c r="H322" s="16" t="str">
        <f aca="false">IF(OR(A322="",G322=""),"",F322*G322)</f>
        <v/>
      </c>
    </row>
    <row r="323" customFormat="false" ht="15" hidden="false" customHeight="false" outlineLevel="0" collapsed="false">
      <c r="A323" s="11"/>
      <c r="B323" s="12" t="str">
        <f aca="false">IF(A323="","",IFERROR(INDEX(Productos!$D$2:$D$1001,MATCH(A323,Productos!$A$2:$A$1001,0))&amp;" — "&amp;INDEX(Productos!$E$2:$E$1001,MATCH(A323,Productos!$A$2:$A$1001,0)),"SKU no existe en Productos"))</f>
        <v/>
      </c>
      <c r="C323" s="11"/>
      <c r="D323" s="11"/>
      <c r="E323" s="11"/>
      <c r="F323" s="12" t="str">
        <f aca="false">IF(A323="","",SUM(C323:E323))</f>
        <v/>
      </c>
      <c r="G323" s="16" t="str">
        <f aca="false">IF(A323="","",IFERROR(INDEX(Productos!$K$2:$K$1001,MATCH(A323,Productos!$A$2:$A$1001,0)),""))</f>
        <v/>
      </c>
      <c r="H323" s="16" t="str">
        <f aca="false">IF(OR(A323="",G323=""),"",F323*G323)</f>
        <v/>
      </c>
    </row>
    <row r="324" customFormat="false" ht="15" hidden="false" customHeight="false" outlineLevel="0" collapsed="false">
      <c r="A324" s="11"/>
      <c r="B324" s="12" t="str">
        <f aca="false">IF(A324="","",IFERROR(INDEX(Productos!$D$2:$D$1001,MATCH(A324,Productos!$A$2:$A$1001,0))&amp;" — "&amp;INDEX(Productos!$E$2:$E$1001,MATCH(A324,Productos!$A$2:$A$1001,0)),"SKU no existe en Productos"))</f>
        <v/>
      </c>
      <c r="C324" s="11"/>
      <c r="D324" s="11"/>
      <c r="E324" s="11"/>
      <c r="F324" s="12" t="str">
        <f aca="false">IF(A324="","",SUM(C324:E324))</f>
        <v/>
      </c>
      <c r="G324" s="16" t="str">
        <f aca="false">IF(A324="","",IFERROR(INDEX(Productos!$K$2:$K$1001,MATCH(A324,Productos!$A$2:$A$1001,0)),""))</f>
        <v/>
      </c>
      <c r="H324" s="16" t="str">
        <f aca="false">IF(OR(A324="",G324=""),"",F324*G324)</f>
        <v/>
      </c>
    </row>
    <row r="325" customFormat="false" ht="15" hidden="false" customHeight="false" outlineLevel="0" collapsed="false">
      <c r="A325" s="11"/>
      <c r="B325" s="12" t="str">
        <f aca="false">IF(A325="","",IFERROR(INDEX(Productos!$D$2:$D$1001,MATCH(A325,Productos!$A$2:$A$1001,0))&amp;" — "&amp;INDEX(Productos!$E$2:$E$1001,MATCH(A325,Productos!$A$2:$A$1001,0)),"SKU no existe en Productos"))</f>
        <v/>
      </c>
      <c r="C325" s="11"/>
      <c r="D325" s="11"/>
      <c r="E325" s="11"/>
      <c r="F325" s="12" t="str">
        <f aca="false">IF(A325="","",SUM(C325:E325))</f>
        <v/>
      </c>
      <c r="G325" s="16" t="str">
        <f aca="false">IF(A325="","",IFERROR(INDEX(Productos!$K$2:$K$1001,MATCH(A325,Productos!$A$2:$A$1001,0)),""))</f>
        <v/>
      </c>
      <c r="H325" s="16" t="str">
        <f aca="false">IF(OR(A325="",G325=""),"",F325*G325)</f>
        <v/>
      </c>
    </row>
    <row r="326" customFormat="false" ht="15" hidden="false" customHeight="false" outlineLevel="0" collapsed="false">
      <c r="A326" s="11"/>
      <c r="B326" s="12" t="str">
        <f aca="false">IF(A326="","",IFERROR(INDEX(Productos!$D$2:$D$1001,MATCH(A326,Productos!$A$2:$A$1001,0))&amp;" — "&amp;INDEX(Productos!$E$2:$E$1001,MATCH(A326,Productos!$A$2:$A$1001,0)),"SKU no existe en Productos"))</f>
        <v/>
      </c>
      <c r="C326" s="11"/>
      <c r="D326" s="11"/>
      <c r="E326" s="11"/>
      <c r="F326" s="12" t="str">
        <f aca="false">IF(A326="","",SUM(C326:E326))</f>
        <v/>
      </c>
      <c r="G326" s="16" t="str">
        <f aca="false">IF(A326="","",IFERROR(INDEX(Productos!$K$2:$K$1001,MATCH(A326,Productos!$A$2:$A$1001,0)),""))</f>
        <v/>
      </c>
      <c r="H326" s="16" t="str">
        <f aca="false">IF(OR(A326="",G326=""),"",F326*G326)</f>
        <v/>
      </c>
    </row>
    <row r="327" customFormat="false" ht="15" hidden="false" customHeight="false" outlineLevel="0" collapsed="false">
      <c r="A327" s="11"/>
      <c r="B327" s="12" t="str">
        <f aca="false">IF(A327="","",IFERROR(INDEX(Productos!$D$2:$D$1001,MATCH(A327,Productos!$A$2:$A$1001,0))&amp;" — "&amp;INDEX(Productos!$E$2:$E$1001,MATCH(A327,Productos!$A$2:$A$1001,0)),"SKU no existe en Productos"))</f>
        <v/>
      </c>
      <c r="C327" s="11"/>
      <c r="D327" s="11"/>
      <c r="E327" s="11"/>
      <c r="F327" s="12" t="str">
        <f aca="false">IF(A327="","",SUM(C327:E327))</f>
        <v/>
      </c>
      <c r="G327" s="16" t="str">
        <f aca="false">IF(A327="","",IFERROR(INDEX(Productos!$K$2:$K$1001,MATCH(A327,Productos!$A$2:$A$1001,0)),""))</f>
        <v/>
      </c>
      <c r="H327" s="16" t="str">
        <f aca="false">IF(OR(A327="",G327=""),"",F327*G327)</f>
        <v/>
      </c>
    </row>
    <row r="328" customFormat="false" ht="15" hidden="false" customHeight="false" outlineLevel="0" collapsed="false">
      <c r="A328" s="11"/>
      <c r="B328" s="12" t="str">
        <f aca="false">IF(A328="","",IFERROR(INDEX(Productos!$D$2:$D$1001,MATCH(A328,Productos!$A$2:$A$1001,0))&amp;" — "&amp;INDEX(Productos!$E$2:$E$1001,MATCH(A328,Productos!$A$2:$A$1001,0)),"SKU no existe en Productos"))</f>
        <v/>
      </c>
      <c r="C328" s="11"/>
      <c r="D328" s="11"/>
      <c r="E328" s="11"/>
      <c r="F328" s="12" t="str">
        <f aca="false">IF(A328="","",SUM(C328:E328))</f>
        <v/>
      </c>
      <c r="G328" s="16" t="str">
        <f aca="false">IF(A328="","",IFERROR(INDEX(Productos!$K$2:$K$1001,MATCH(A328,Productos!$A$2:$A$1001,0)),""))</f>
        <v/>
      </c>
      <c r="H328" s="16" t="str">
        <f aca="false">IF(OR(A328="",G328=""),"",F328*G328)</f>
        <v/>
      </c>
    </row>
    <row r="329" customFormat="false" ht="15" hidden="false" customHeight="false" outlineLevel="0" collapsed="false">
      <c r="A329" s="11"/>
      <c r="B329" s="12" t="str">
        <f aca="false">IF(A329="","",IFERROR(INDEX(Productos!$D$2:$D$1001,MATCH(A329,Productos!$A$2:$A$1001,0))&amp;" — "&amp;INDEX(Productos!$E$2:$E$1001,MATCH(A329,Productos!$A$2:$A$1001,0)),"SKU no existe en Productos"))</f>
        <v/>
      </c>
      <c r="C329" s="11"/>
      <c r="D329" s="11"/>
      <c r="E329" s="11"/>
      <c r="F329" s="12" t="str">
        <f aca="false">IF(A329="","",SUM(C329:E329))</f>
        <v/>
      </c>
      <c r="G329" s="16" t="str">
        <f aca="false">IF(A329="","",IFERROR(INDEX(Productos!$K$2:$K$1001,MATCH(A329,Productos!$A$2:$A$1001,0)),""))</f>
        <v/>
      </c>
      <c r="H329" s="16" t="str">
        <f aca="false">IF(OR(A329="",G329=""),"",F329*G329)</f>
        <v/>
      </c>
    </row>
    <row r="330" customFormat="false" ht="15" hidden="false" customHeight="false" outlineLevel="0" collapsed="false">
      <c r="A330" s="11"/>
      <c r="B330" s="12" t="str">
        <f aca="false">IF(A330="","",IFERROR(INDEX(Productos!$D$2:$D$1001,MATCH(A330,Productos!$A$2:$A$1001,0))&amp;" — "&amp;INDEX(Productos!$E$2:$E$1001,MATCH(A330,Productos!$A$2:$A$1001,0)),"SKU no existe en Productos"))</f>
        <v/>
      </c>
      <c r="C330" s="11"/>
      <c r="D330" s="11"/>
      <c r="E330" s="11"/>
      <c r="F330" s="12" t="str">
        <f aca="false">IF(A330="","",SUM(C330:E330))</f>
        <v/>
      </c>
      <c r="G330" s="16" t="str">
        <f aca="false">IF(A330="","",IFERROR(INDEX(Productos!$K$2:$K$1001,MATCH(A330,Productos!$A$2:$A$1001,0)),""))</f>
        <v/>
      </c>
      <c r="H330" s="16" t="str">
        <f aca="false">IF(OR(A330="",G330=""),"",F330*G330)</f>
        <v/>
      </c>
    </row>
    <row r="331" customFormat="false" ht="15" hidden="false" customHeight="false" outlineLevel="0" collapsed="false">
      <c r="A331" s="11"/>
      <c r="B331" s="12" t="str">
        <f aca="false">IF(A331="","",IFERROR(INDEX(Productos!$D$2:$D$1001,MATCH(A331,Productos!$A$2:$A$1001,0))&amp;" — "&amp;INDEX(Productos!$E$2:$E$1001,MATCH(A331,Productos!$A$2:$A$1001,0)),"SKU no existe en Productos"))</f>
        <v/>
      </c>
      <c r="C331" s="11"/>
      <c r="D331" s="11"/>
      <c r="E331" s="11"/>
      <c r="F331" s="12" t="str">
        <f aca="false">IF(A331="","",SUM(C331:E331))</f>
        <v/>
      </c>
      <c r="G331" s="16" t="str">
        <f aca="false">IF(A331="","",IFERROR(INDEX(Productos!$K$2:$K$1001,MATCH(A331,Productos!$A$2:$A$1001,0)),""))</f>
        <v/>
      </c>
      <c r="H331" s="16" t="str">
        <f aca="false">IF(OR(A331="",G331=""),"",F331*G331)</f>
        <v/>
      </c>
    </row>
    <row r="332" customFormat="false" ht="15" hidden="false" customHeight="false" outlineLevel="0" collapsed="false">
      <c r="A332" s="11"/>
      <c r="B332" s="12" t="str">
        <f aca="false">IF(A332="","",IFERROR(INDEX(Productos!$D$2:$D$1001,MATCH(A332,Productos!$A$2:$A$1001,0))&amp;" — "&amp;INDEX(Productos!$E$2:$E$1001,MATCH(A332,Productos!$A$2:$A$1001,0)),"SKU no existe en Productos"))</f>
        <v/>
      </c>
      <c r="C332" s="11"/>
      <c r="D332" s="11"/>
      <c r="E332" s="11"/>
      <c r="F332" s="12" t="str">
        <f aca="false">IF(A332="","",SUM(C332:E332))</f>
        <v/>
      </c>
      <c r="G332" s="16" t="str">
        <f aca="false">IF(A332="","",IFERROR(INDEX(Productos!$K$2:$K$1001,MATCH(A332,Productos!$A$2:$A$1001,0)),""))</f>
        <v/>
      </c>
      <c r="H332" s="16" t="str">
        <f aca="false">IF(OR(A332="",G332=""),"",F332*G332)</f>
        <v/>
      </c>
    </row>
    <row r="333" customFormat="false" ht="15" hidden="false" customHeight="false" outlineLevel="0" collapsed="false">
      <c r="A333" s="11"/>
      <c r="B333" s="12" t="str">
        <f aca="false">IF(A333="","",IFERROR(INDEX(Productos!$D$2:$D$1001,MATCH(A333,Productos!$A$2:$A$1001,0))&amp;" — "&amp;INDEX(Productos!$E$2:$E$1001,MATCH(A333,Productos!$A$2:$A$1001,0)),"SKU no existe en Productos"))</f>
        <v/>
      </c>
      <c r="C333" s="11"/>
      <c r="D333" s="11"/>
      <c r="E333" s="11"/>
      <c r="F333" s="12" t="str">
        <f aca="false">IF(A333="","",SUM(C333:E333))</f>
        <v/>
      </c>
      <c r="G333" s="16" t="str">
        <f aca="false">IF(A333="","",IFERROR(INDEX(Productos!$K$2:$K$1001,MATCH(A333,Productos!$A$2:$A$1001,0)),""))</f>
        <v/>
      </c>
      <c r="H333" s="16" t="str">
        <f aca="false">IF(OR(A333="",G333=""),"",F333*G333)</f>
        <v/>
      </c>
    </row>
    <row r="334" customFormat="false" ht="15" hidden="false" customHeight="false" outlineLevel="0" collapsed="false">
      <c r="A334" s="11"/>
      <c r="B334" s="12" t="str">
        <f aca="false">IF(A334="","",IFERROR(INDEX(Productos!$D$2:$D$1001,MATCH(A334,Productos!$A$2:$A$1001,0))&amp;" — "&amp;INDEX(Productos!$E$2:$E$1001,MATCH(A334,Productos!$A$2:$A$1001,0)),"SKU no existe en Productos"))</f>
        <v/>
      </c>
      <c r="C334" s="11"/>
      <c r="D334" s="11"/>
      <c r="E334" s="11"/>
      <c r="F334" s="12" t="str">
        <f aca="false">IF(A334="","",SUM(C334:E334))</f>
        <v/>
      </c>
      <c r="G334" s="16" t="str">
        <f aca="false">IF(A334="","",IFERROR(INDEX(Productos!$K$2:$K$1001,MATCH(A334,Productos!$A$2:$A$1001,0)),""))</f>
        <v/>
      </c>
      <c r="H334" s="16" t="str">
        <f aca="false">IF(OR(A334="",G334=""),"",F334*G334)</f>
        <v/>
      </c>
    </row>
    <row r="335" customFormat="false" ht="15" hidden="false" customHeight="false" outlineLevel="0" collapsed="false">
      <c r="A335" s="11"/>
      <c r="B335" s="12" t="str">
        <f aca="false">IF(A335="","",IFERROR(INDEX(Productos!$D$2:$D$1001,MATCH(A335,Productos!$A$2:$A$1001,0))&amp;" — "&amp;INDEX(Productos!$E$2:$E$1001,MATCH(A335,Productos!$A$2:$A$1001,0)),"SKU no existe en Productos"))</f>
        <v/>
      </c>
      <c r="C335" s="11"/>
      <c r="D335" s="11"/>
      <c r="E335" s="11"/>
      <c r="F335" s="12" t="str">
        <f aca="false">IF(A335="","",SUM(C335:E335))</f>
        <v/>
      </c>
      <c r="G335" s="16" t="str">
        <f aca="false">IF(A335="","",IFERROR(INDEX(Productos!$K$2:$K$1001,MATCH(A335,Productos!$A$2:$A$1001,0)),""))</f>
        <v/>
      </c>
      <c r="H335" s="16" t="str">
        <f aca="false">IF(OR(A335="",G335=""),"",F335*G335)</f>
        <v/>
      </c>
    </row>
    <row r="336" customFormat="false" ht="15" hidden="false" customHeight="false" outlineLevel="0" collapsed="false">
      <c r="A336" s="11"/>
      <c r="B336" s="12" t="str">
        <f aca="false">IF(A336="","",IFERROR(INDEX(Productos!$D$2:$D$1001,MATCH(A336,Productos!$A$2:$A$1001,0))&amp;" — "&amp;INDEX(Productos!$E$2:$E$1001,MATCH(A336,Productos!$A$2:$A$1001,0)),"SKU no existe en Productos"))</f>
        <v/>
      </c>
      <c r="C336" s="11"/>
      <c r="D336" s="11"/>
      <c r="E336" s="11"/>
      <c r="F336" s="12" t="str">
        <f aca="false">IF(A336="","",SUM(C336:E336))</f>
        <v/>
      </c>
      <c r="G336" s="16" t="str">
        <f aca="false">IF(A336="","",IFERROR(INDEX(Productos!$K$2:$K$1001,MATCH(A336,Productos!$A$2:$A$1001,0)),""))</f>
        <v/>
      </c>
      <c r="H336" s="16" t="str">
        <f aca="false">IF(OR(A336="",G336=""),"",F336*G336)</f>
        <v/>
      </c>
    </row>
    <row r="337" customFormat="false" ht="15" hidden="false" customHeight="false" outlineLevel="0" collapsed="false">
      <c r="A337" s="11"/>
      <c r="B337" s="12" t="str">
        <f aca="false">IF(A337="","",IFERROR(INDEX(Productos!$D$2:$D$1001,MATCH(A337,Productos!$A$2:$A$1001,0))&amp;" — "&amp;INDEX(Productos!$E$2:$E$1001,MATCH(A337,Productos!$A$2:$A$1001,0)),"SKU no existe en Productos"))</f>
        <v/>
      </c>
      <c r="C337" s="11"/>
      <c r="D337" s="11"/>
      <c r="E337" s="11"/>
      <c r="F337" s="12" t="str">
        <f aca="false">IF(A337="","",SUM(C337:E337))</f>
        <v/>
      </c>
      <c r="G337" s="16" t="str">
        <f aca="false">IF(A337="","",IFERROR(INDEX(Productos!$K$2:$K$1001,MATCH(A337,Productos!$A$2:$A$1001,0)),""))</f>
        <v/>
      </c>
      <c r="H337" s="16" t="str">
        <f aca="false">IF(OR(A337="",G337=""),"",F337*G337)</f>
        <v/>
      </c>
    </row>
    <row r="338" customFormat="false" ht="15" hidden="false" customHeight="false" outlineLevel="0" collapsed="false">
      <c r="A338" s="11"/>
      <c r="B338" s="12" t="str">
        <f aca="false">IF(A338="","",IFERROR(INDEX(Productos!$D$2:$D$1001,MATCH(A338,Productos!$A$2:$A$1001,0))&amp;" — "&amp;INDEX(Productos!$E$2:$E$1001,MATCH(A338,Productos!$A$2:$A$1001,0)),"SKU no existe en Productos"))</f>
        <v/>
      </c>
      <c r="C338" s="11"/>
      <c r="D338" s="11"/>
      <c r="E338" s="11"/>
      <c r="F338" s="12" t="str">
        <f aca="false">IF(A338="","",SUM(C338:E338))</f>
        <v/>
      </c>
      <c r="G338" s="16" t="str">
        <f aca="false">IF(A338="","",IFERROR(INDEX(Productos!$K$2:$K$1001,MATCH(A338,Productos!$A$2:$A$1001,0)),""))</f>
        <v/>
      </c>
      <c r="H338" s="16" t="str">
        <f aca="false">IF(OR(A338="",G338=""),"",F338*G338)</f>
        <v/>
      </c>
    </row>
    <row r="339" customFormat="false" ht="15" hidden="false" customHeight="false" outlineLevel="0" collapsed="false">
      <c r="A339" s="11"/>
      <c r="B339" s="12" t="str">
        <f aca="false">IF(A339="","",IFERROR(INDEX(Productos!$D$2:$D$1001,MATCH(A339,Productos!$A$2:$A$1001,0))&amp;" — "&amp;INDEX(Productos!$E$2:$E$1001,MATCH(A339,Productos!$A$2:$A$1001,0)),"SKU no existe en Productos"))</f>
        <v/>
      </c>
      <c r="C339" s="11"/>
      <c r="D339" s="11"/>
      <c r="E339" s="11"/>
      <c r="F339" s="12" t="str">
        <f aca="false">IF(A339="","",SUM(C339:E339))</f>
        <v/>
      </c>
      <c r="G339" s="16" t="str">
        <f aca="false">IF(A339="","",IFERROR(INDEX(Productos!$K$2:$K$1001,MATCH(A339,Productos!$A$2:$A$1001,0)),""))</f>
        <v/>
      </c>
      <c r="H339" s="16" t="str">
        <f aca="false">IF(OR(A339="",G339=""),"",F339*G339)</f>
        <v/>
      </c>
    </row>
    <row r="340" customFormat="false" ht="15" hidden="false" customHeight="false" outlineLevel="0" collapsed="false">
      <c r="A340" s="11"/>
      <c r="B340" s="12" t="str">
        <f aca="false">IF(A340="","",IFERROR(INDEX(Productos!$D$2:$D$1001,MATCH(A340,Productos!$A$2:$A$1001,0))&amp;" — "&amp;INDEX(Productos!$E$2:$E$1001,MATCH(A340,Productos!$A$2:$A$1001,0)),"SKU no existe en Productos"))</f>
        <v/>
      </c>
      <c r="C340" s="11"/>
      <c r="D340" s="11"/>
      <c r="E340" s="11"/>
      <c r="F340" s="12" t="str">
        <f aca="false">IF(A340="","",SUM(C340:E340))</f>
        <v/>
      </c>
      <c r="G340" s="16" t="str">
        <f aca="false">IF(A340="","",IFERROR(INDEX(Productos!$K$2:$K$1001,MATCH(A340,Productos!$A$2:$A$1001,0)),""))</f>
        <v/>
      </c>
      <c r="H340" s="16" t="str">
        <f aca="false">IF(OR(A340="",G340=""),"",F340*G340)</f>
        <v/>
      </c>
    </row>
    <row r="341" customFormat="false" ht="15" hidden="false" customHeight="false" outlineLevel="0" collapsed="false">
      <c r="A341" s="11"/>
      <c r="B341" s="12" t="str">
        <f aca="false">IF(A341="","",IFERROR(INDEX(Productos!$D$2:$D$1001,MATCH(A341,Productos!$A$2:$A$1001,0))&amp;" — "&amp;INDEX(Productos!$E$2:$E$1001,MATCH(A341,Productos!$A$2:$A$1001,0)),"SKU no existe en Productos"))</f>
        <v/>
      </c>
      <c r="C341" s="11"/>
      <c r="D341" s="11"/>
      <c r="E341" s="11"/>
      <c r="F341" s="12" t="str">
        <f aca="false">IF(A341="","",SUM(C341:E341))</f>
        <v/>
      </c>
      <c r="G341" s="16" t="str">
        <f aca="false">IF(A341="","",IFERROR(INDEX(Productos!$K$2:$K$1001,MATCH(A341,Productos!$A$2:$A$1001,0)),""))</f>
        <v/>
      </c>
      <c r="H341" s="16" t="str">
        <f aca="false">IF(OR(A341="",G341=""),"",F341*G341)</f>
        <v/>
      </c>
    </row>
    <row r="342" customFormat="false" ht="15" hidden="false" customHeight="false" outlineLevel="0" collapsed="false">
      <c r="A342" s="11"/>
      <c r="B342" s="12" t="str">
        <f aca="false">IF(A342="","",IFERROR(INDEX(Productos!$D$2:$D$1001,MATCH(A342,Productos!$A$2:$A$1001,0))&amp;" — "&amp;INDEX(Productos!$E$2:$E$1001,MATCH(A342,Productos!$A$2:$A$1001,0)),"SKU no existe en Productos"))</f>
        <v/>
      </c>
      <c r="C342" s="11"/>
      <c r="D342" s="11"/>
      <c r="E342" s="11"/>
      <c r="F342" s="12" t="str">
        <f aca="false">IF(A342="","",SUM(C342:E342))</f>
        <v/>
      </c>
      <c r="G342" s="16" t="str">
        <f aca="false">IF(A342="","",IFERROR(INDEX(Productos!$K$2:$K$1001,MATCH(A342,Productos!$A$2:$A$1001,0)),""))</f>
        <v/>
      </c>
      <c r="H342" s="16" t="str">
        <f aca="false">IF(OR(A342="",G342=""),"",F342*G342)</f>
        <v/>
      </c>
    </row>
    <row r="343" customFormat="false" ht="15" hidden="false" customHeight="false" outlineLevel="0" collapsed="false">
      <c r="A343" s="11"/>
      <c r="B343" s="12" t="str">
        <f aca="false">IF(A343="","",IFERROR(INDEX(Productos!$D$2:$D$1001,MATCH(A343,Productos!$A$2:$A$1001,0))&amp;" — "&amp;INDEX(Productos!$E$2:$E$1001,MATCH(A343,Productos!$A$2:$A$1001,0)),"SKU no existe en Productos"))</f>
        <v/>
      </c>
      <c r="C343" s="11"/>
      <c r="D343" s="11"/>
      <c r="E343" s="11"/>
      <c r="F343" s="12" t="str">
        <f aca="false">IF(A343="","",SUM(C343:E343))</f>
        <v/>
      </c>
      <c r="G343" s="16" t="str">
        <f aca="false">IF(A343="","",IFERROR(INDEX(Productos!$K$2:$K$1001,MATCH(A343,Productos!$A$2:$A$1001,0)),""))</f>
        <v/>
      </c>
      <c r="H343" s="16" t="str">
        <f aca="false">IF(OR(A343="",G343=""),"",F343*G343)</f>
        <v/>
      </c>
    </row>
    <row r="344" customFormat="false" ht="15" hidden="false" customHeight="false" outlineLevel="0" collapsed="false">
      <c r="A344" s="11"/>
      <c r="B344" s="12" t="str">
        <f aca="false">IF(A344="","",IFERROR(INDEX(Productos!$D$2:$D$1001,MATCH(A344,Productos!$A$2:$A$1001,0))&amp;" — "&amp;INDEX(Productos!$E$2:$E$1001,MATCH(A344,Productos!$A$2:$A$1001,0)),"SKU no existe en Productos"))</f>
        <v/>
      </c>
      <c r="C344" s="11"/>
      <c r="D344" s="11"/>
      <c r="E344" s="11"/>
      <c r="F344" s="12" t="str">
        <f aca="false">IF(A344="","",SUM(C344:E344))</f>
        <v/>
      </c>
      <c r="G344" s="16" t="str">
        <f aca="false">IF(A344="","",IFERROR(INDEX(Productos!$K$2:$K$1001,MATCH(A344,Productos!$A$2:$A$1001,0)),""))</f>
        <v/>
      </c>
      <c r="H344" s="16" t="str">
        <f aca="false">IF(OR(A344="",G344=""),"",F344*G344)</f>
        <v/>
      </c>
    </row>
    <row r="345" customFormat="false" ht="15" hidden="false" customHeight="false" outlineLevel="0" collapsed="false">
      <c r="A345" s="11"/>
      <c r="B345" s="12" t="str">
        <f aca="false">IF(A345="","",IFERROR(INDEX(Productos!$D$2:$D$1001,MATCH(A345,Productos!$A$2:$A$1001,0))&amp;" — "&amp;INDEX(Productos!$E$2:$E$1001,MATCH(A345,Productos!$A$2:$A$1001,0)),"SKU no existe en Productos"))</f>
        <v/>
      </c>
      <c r="C345" s="11"/>
      <c r="D345" s="11"/>
      <c r="E345" s="11"/>
      <c r="F345" s="12" t="str">
        <f aca="false">IF(A345="","",SUM(C345:E345))</f>
        <v/>
      </c>
      <c r="G345" s="16" t="str">
        <f aca="false">IF(A345="","",IFERROR(INDEX(Productos!$K$2:$K$1001,MATCH(A345,Productos!$A$2:$A$1001,0)),""))</f>
        <v/>
      </c>
      <c r="H345" s="16" t="str">
        <f aca="false">IF(OR(A345="",G345=""),"",F345*G345)</f>
        <v/>
      </c>
    </row>
    <row r="346" customFormat="false" ht="15" hidden="false" customHeight="false" outlineLevel="0" collapsed="false">
      <c r="A346" s="11"/>
      <c r="B346" s="12" t="str">
        <f aca="false">IF(A346="","",IFERROR(INDEX(Productos!$D$2:$D$1001,MATCH(A346,Productos!$A$2:$A$1001,0))&amp;" — "&amp;INDEX(Productos!$E$2:$E$1001,MATCH(A346,Productos!$A$2:$A$1001,0)),"SKU no existe en Productos"))</f>
        <v/>
      </c>
      <c r="C346" s="11"/>
      <c r="D346" s="11"/>
      <c r="E346" s="11"/>
      <c r="F346" s="12" t="str">
        <f aca="false">IF(A346="","",SUM(C346:E346))</f>
        <v/>
      </c>
      <c r="G346" s="16" t="str">
        <f aca="false">IF(A346="","",IFERROR(INDEX(Productos!$K$2:$K$1001,MATCH(A346,Productos!$A$2:$A$1001,0)),""))</f>
        <v/>
      </c>
      <c r="H346" s="16" t="str">
        <f aca="false">IF(OR(A346="",G346=""),"",F346*G346)</f>
        <v/>
      </c>
    </row>
    <row r="347" customFormat="false" ht="15" hidden="false" customHeight="false" outlineLevel="0" collapsed="false">
      <c r="A347" s="11"/>
      <c r="B347" s="12" t="str">
        <f aca="false">IF(A347="","",IFERROR(INDEX(Productos!$D$2:$D$1001,MATCH(A347,Productos!$A$2:$A$1001,0))&amp;" — "&amp;INDEX(Productos!$E$2:$E$1001,MATCH(A347,Productos!$A$2:$A$1001,0)),"SKU no existe en Productos"))</f>
        <v/>
      </c>
      <c r="C347" s="11"/>
      <c r="D347" s="11"/>
      <c r="E347" s="11"/>
      <c r="F347" s="12" t="str">
        <f aca="false">IF(A347="","",SUM(C347:E347))</f>
        <v/>
      </c>
      <c r="G347" s="16" t="str">
        <f aca="false">IF(A347="","",IFERROR(INDEX(Productos!$K$2:$K$1001,MATCH(A347,Productos!$A$2:$A$1001,0)),""))</f>
        <v/>
      </c>
      <c r="H347" s="16" t="str">
        <f aca="false">IF(OR(A347="",G347=""),"",F347*G347)</f>
        <v/>
      </c>
    </row>
    <row r="348" customFormat="false" ht="15" hidden="false" customHeight="false" outlineLevel="0" collapsed="false">
      <c r="A348" s="11"/>
      <c r="B348" s="12" t="str">
        <f aca="false">IF(A348="","",IFERROR(INDEX(Productos!$D$2:$D$1001,MATCH(A348,Productos!$A$2:$A$1001,0))&amp;" — "&amp;INDEX(Productos!$E$2:$E$1001,MATCH(A348,Productos!$A$2:$A$1001,0)),"SKU no existe en Productos"))</f>
        <v/>
      </c>
      <c r="C348" s="11"/>
      <c r="D348" s="11"/>
      <c r="E348" s="11"/>
      <c r="F348" s="12" t="str">
        <f aca="false">IF(A348="","",SUM(C348:E348))</f>
        <v/>
      </c>
      <c r="G348" s="16" t="str">
        <f aca="false">IF(A348="","",IFERROR(INDEX(Productos!$K$2:$K$1001,MATCH(A348,Productos!$A$2:$A$1001,0)),""))</f>
        <v/>
      </c>
      <c r="H348" s="16" t="str">
        <f aca="false">IF(OR(A348="",G348=""),"",F348*G348)</f>
        <v/>
      </c>
    </row>
    <row r="349" customFormat="false" ht="15" hidden="false" customHeight="false" outlineLevel="0" collapsed="false">
      <c r="A349" s="11"/>
      <c r="B349" s="12" t="str">
        <f aca="false">IF(A349="","",IFERROR(INDEX(Productos!$D$2:$D$1001,MATCH(A349,Productos!$A$2:$A$1001,0))&amp;" — "&amp;INDEX(Productos!$E$2:$E$1001,MATCH(A349,Productos!$A$2:$A$1001,0)),"SKU no existe en Productos"))</f>
        <v/>
      </c>
      <c r="C349" s="11"/>
      <c r="D349" s="11"/>
      <c r="E349" s="11"/>
      <c r="F349" s="12" t="str">
        <f aca="false">IF(A349="","",SUM(C349:E349))</f>
        <v/>
      </c>
      <c r="G349" s="16" t="str">
        <f aca="false">IF(A349="","",IFERROR(INDEX(Productos!$K$2:$K$1001,MATCH(A349,Productos!$A$2:$A$1001,0)),""))</f>
        <v/>
      </c>
      <c r="H349" s="16" t="str">
        <f aca="false">IF(OR(A349="",G349=""),"",F349*G349)</f>
        <v/>
      </c>
    </row>
    <row r="350" customFormat="false" ht="15" hidden="false" customHeight="false" outlineLevel="0" collapsed="false">
      <c r="A350" s="11"/>
      <c r="B350" s="12" t="str">
        <f aca="false">IF(A350="","",IFERROR(INDEX(Productos!$D$2:$D$1001,MATCH(A350,Productos!$A$2:$A$1001,0))&amp;" — "&amp;INDEX(Productos!$E$2:$E$1001,MATCH(A350,Productos!$A$2:$A$1001,0)),"SKU no existe en Productos"))</f>
        <v/>
      </c>
      <c r="C350" s="11"/>
      <c r="D350" s="11"/>
      <c r="E350" s="11"/>
      <c r="F350" s="12" t="str">
        <f aca="false">IF(A350="","",SUM(C350:E350))</f>
        <v/>
      </c>
      <c r="G350" s="16" t="str">
        <f aca="false">IF(A350="","",IFERROR(INDEX(Productos!$K$2:$K$1001,MATCH(A350,Productos!$A$2:$A$1001,0)),""))</f>
        <v/>
      </c>
      <c r="H350" s="16" t="str">
        <f aca="false">IF(OR(A350="",G350=""),"",F350*G350)</f>
        <v/>
      </c>
    </row>
    <row r="351" customFormat="false" ht="15" hidden="false" customHeight="false" outlineLevel="0" collapsed="false">
      <c r="A351" s="11"/>
      <c r="B351" s="12" t="str">
        <f aca="false">IF(A351="","",IFERROR(INDEX(Productos!$D$2:$D$1001,MATCH(A351,Productos!$A$2:$A$1001,0))&amp;" — "&amp;INDEX(Productos!$E$2:$E$1001,MATCH(A351,Productos!$A$2:$A$1001,0)),"SKU no existe en Productos"))</f>
        <v/>
      </c>
      <c r="C351" s="11"/>
      <c r="D351" s="11"/>
      <c r="E351" s="11"/>
      <c r="F351" s="12" t="str">
        <f aca="false">IF(A351="","",SUM(C351:E351))</f>
        <v/>
      </c>
      <c r="G351" s="16" t="str">
        <f aca="false">IF(A351="","",IFERROR(INDEX(Productos!$K$2:$K$1001,MATCH(A351,Productos!$A$2:$A$1001,0)),""))</f>
        <v/>
      </c>
      <c r="H351" s="16" t="str">
        <f aca="false">IF(OR(A351="",G351=""),"",F351*G351)</f>
        <v/>
      </c>
    </row>
    <row r="352" customFormat="false" ht="15" hidden="false" customHeight="false" outlineLevel="0" collapsed="false">
      <c r="A352" s="11"/>
      <c r="B352" s="12" t="str">
        <f aca="false">IF(A352="","",IFERROR(INDEX(Productos!$D$2:$D$1001,MATCH(A352,Productos!$A$2:$A$1001,0))&amp;" — "&amp;INDEX(Productos!$E$2:$E$1001,MATCH(A352,Productos!$A$2:$A$1001,0)),"SKU no existe en Productos"))</f>
        <v/>
      </c>
      <c r="C352" s="11"/>
      <c r="D352" s="11"/>
      <c r="E352" s="11"/>
      <c r="F352" s="12" t="str">
        <f aca="false">IF(A352="","",SUM(C352:E352))</f>
        <v/>
      </c>
      <c r="G352" s="16" t="str">
        <f aca="false">IF(A352="","",IFERROR(INDEX(Productos!$K$2:$K$1001,MATCH(A352,Productos!$A$2:$A$1001,0)),""))</f>
        <v/>
      </c>
      <c r="H352" s="16" t="str">
        <f aca="false">IF(OR(A352="",G352=""),"",F352*G352)</f>
        <v/>
      </c>
    </row>
    <row r="353" customFormat="false" ht="15" hidden="false" customHeight="false" outlineLevel="0" collapsed="false">
      <c r="A353" s="11"/>
      <c r="B353" s="12" t="str">
        <f aca="false">IF(A353="","",IFERROR(INDEX(Productos!$D$2:$D$1001,MATCH(A353,Productos!$A$2:$A$1001,0))&amp;" — "&amp;INDEX(Productos!$E$2:$E$1001,MATCH(A353,Productos!$A$2:$A$1001,0)),"SKU no existe en Productos"))</f>
        <v/>
      </c>
      <c r="C353" s="11"/>
      <c r="D353" s="11"/>
      <c r="E353" s="11"/>
      <c r="F353" s="12" t="str">
        <f aca="false">IF(A353="","",SUM(C353:E353))</f>
        <v/>
      </c>
      <c r="G353" s="16" t="str">
        <f aca="false">IF(A353="","",IFERROR(INDEX(Productos!$K$2:$K$1001,MATCH(A353,Productos!$A$2:$A$1001,0)),""))</f>
        <v/>
      </c>
      <c r="H353" s="16" t="str">
        <f aca="false">IF(OR(A353="",G353=""),"",F353*G353)</f>
        <v/>
      </c>
    </row>
    <row r="354" customFormat="false" ht="15" hidden="false" customHeight="false" outlineLevel="0" collapsed="false">
      <c r="A354" s="11"/>
      <c r="B354" s="12" t="str">
        <f aca="false">IF(A354="","",IFERROR(INDEX(Productos!$D$2:$D$1001,MATCH(A354,Productos!$A$2:$A$1001,0))&amp;" — "&amp;INDEX(Productos!$E$2:$E$1001,MATCH(A354,Productos!$A$2:$A$1001,0)),"SKU no existe en Productos"))</f>
        <v/>
      </c>
      <c r="C354" s="11"/>
      <c r="D354" s="11"/>
      <c r="E354" s="11"/>
      <c r="F354" s="12" t="str">
        <f aca="false">IF(A354="","",SUM(C354:E354))</f>
        <v/>
      </c>
      <c r="G354" s="16" t="str">
        <f aca="false">IF(A354="","",IFERROR(INDEX(Productos!$K$2:$K$1001,MATCH(A354,Productos!$A$2:$A$1001,0)),""))</f>
        <v/>
      </c>
      <c r="H354" s="16" t="str">
        <f aca="false">IF(OR(A354="",G354=""),"",F354*G354)</f>
        <v/>
      </c>
    </row>
    <row r="355" customFormat="false" ht="15" hidden="false" customHeight="false" outlineLevel="0" collapsed="false">
      <c r="A355" s="11"/>
      <c r="B355" s="12" t="str">
        <f aca="false">IF(A355="","",IFERROR(INDEX(Productos!$D$2:$D$1001,MATCH(A355,Productos!$A$2:$A$1001,0))&amp;" — "&amp;INDEX(Productos!$E$2:$E$1001,MATCH(A355,Productos!$A$2:$A$1001,0)),"SKU no existe en Productos"))</f>
        <v/>
      </c>
      <c r="C355" s="11"/>
      <c r="D355" s="11"/>
      <c r="E355" s="11"/>
      <c r="F355" s="12" t="str">
        <f aca="false">IF(A355="","",SUM(C355:E355))</f>
        <v/>
      </c>
      <c r="G355" s="16" t="str">
        <f aca="false">IF(A355="","",IFERROR(INDEX(Productos!$K$2:$K$1001,MATCH(A355,Productos!$A$2:$A$1001,0)),""))</f>
        <v/>
      </c>
      <c r="H355" s="16" t="str">
        <f aca="false">IF(OR(A355="",G355=""),"",F355*G355)</f>
        <v/>
      </c>
    </row>
    <row r="356" customFormat="false" ht="15" hidden="false" customHeight="false" outlineLevel="0" collapsed="false">
      <c r="A356" s="11"/>
      <c r="B356" s="12" t="str">
        <f aca="false">IF(A356="","",IFERROR(INDEX(Productos!$D$2:$D$1001,MATCH(A356,Productos!$A$2:$A$1001,0))&amp;" — "&amp;INDEX(Productos!$E$2:$E$1001,MATCH(A356,Productos!$A$2:$A$1001,0)),"SKU no existe en Productos"))</f>
        <v/>
      </c>
      <c r="C356" s="11"/>
      <c r="D356" s="11"/>
      <c r="E356" s="11"/>
      <c r="F356" s="12" t="str">
        <f aca="false">IF(A356="","",SUM(C356:E356))</f>
        <v/>
      </c>
      <c r="G356" s="16" t="str">
        <f aca="false">IF(A356="","",IFERROR(INDEX(Productos!$K$2:$K$1001,MATCH(A356,Productos!$A$2:$A$1001,0)),""))</f>
        <v/>
      </c>
      <c r="H356" s="16" t="str">
        <f aca="false">IF(OR(A356="",G356=""),"",F356*G356)</f>
        <v/>
      </c>
    </row>
    <row r="357" customFormat="false" ht="15" hidden="false" customHeight="false" outlineLevel="0" collapsed="false">
      <c r="A357" s="11"/>
      <c r="B357" s="12" t="str">
        <f aca="false">IF(A357="","",IFERROR(INDEX(Productos!$D$2:$D$1001,MATCH(A357,Productos!$A$2:$A$1001,0))&amp;" — "&amp;INDEX(Productos!$E$2:$E$1001,MATCH(A357,Productos!$A$2:$A$1001,0)),"SKU no existe en Productos"))</f>
        <v/>
      </c>
      <c r="C357" s="11"/>
      <c r="D357" s="11"/>
      <c r="E357" s="11"/>
      <c r="F357" s="12" t="str">
        <f aca="false">IF(A357="","",SUM(C357:E357))</f>
        <v/>
      </c>
      <c r="G357" s="16" t="str">
        <f aca="false">IF(A357="","",IFERROR(INDEX(Productos!$K$2:$K$1001,MATCH(A357,Productos!$A$2:$A$1001,0)),""))</f>
        <v/>
      </c>
      <c r="H357" s="16" t="str">
        <f aca="false">IF(OR(A357="",G357=""),"",F357*G357)</f>
        <v/>
      </c>
    </row>
    <row r="358" customFormat="false" ht="15" hidden="false" customHeight="false" outlineLevel="0" collapsed="false">
      <c r="A358" s="11"/>
      <c r="B358" s="12" t="str">
        <f aca="false">IF(A358="","",IFERROR(INDEX(Productos!$D$2:$D$1001,MATCH(A358,Productos!$A$2:$A$1001,0))&amp;" — "&amp;INDEX(Productos!$E$2:$E$1001,MATCH(A358,Productos!$A$2:$A$1001,0)),"SKU no existe en Productos"))</f>
        <v/>
      </c>
      <c r="C358" s="11"/>
      <c r="D358" s="11"/>
      <c r="E358" s="11"/>
      <c r="F358" s="12" t="str">
        <f aca="false">IF(A358="","",SUM(C358:E358))</f>
        <v/>
      </c>
      <c r="G358" s="16" t="str">
        <f aca="false">IF(A358="","",IFERROR(INDEX(Productos!$K$2:$K$1001,MATCH(A358,Productos!$A$2:$A$1001,0)),""))</f>
        <v/>
      </c>
      <c r="H358" s="16" t="str">
        <f aca="false">IF(OR(A358="",G358=""),"",F358*G358)</f>
        <v/>
      </c>
    </row>
    <row r="359" customFormat="false" ht="15" hidden="false" customHeight="false" outlineLevel="0" collapsed="false">
      <c r="A359" s="11"/>
      <c r="B359" s="12" t="str">
        <f aca="false">IF(A359="","",IFERROR(INDEX(Productos!$D$2:$D$1001,MATCH(A359,Productos!$A$2:$A$1001,0))&amp;" — "&amp;INDEX(Productos!$E$2:$E$1001,MATCH(A359,Productos!$A$2:$A$1001,0)),"SKU no existe en Productos"))</f>
        <v/>
      </c>
      <c r="C359" s="11"/>
      <c r="D359" s="11"/>
      <c r="E359" s="11"/>
      <c r="F359" s="12" t="str">
        <f aca="false">IF(A359="","",SUM(C359:E359))</f>
        <v/>
      </c>
      <c r="G359" s="16" t="str">
        <f aca="false">IF(A359="","",IFERROR(INDEX(Productos!$K$2:$K$1001,MATCH(A359,Productos!$A$2:$A$1001,0)),""))</f>
        <v/>
      </c>
      <c r="H359" s="16" t="str">
        <f aca="false">IF(OR(A359="",G359=""),"",F359*G359)</f>
        <v/>
      </c>
    </row>
    <row r="360" customFormat="false" ht="15" hidden="false" customHeight="false" outlineLevel="0" collapsed="false">
      <c r="A360" s="11"/>
      <c r="B360" s="12" t="str">
        <f aca="false">IF(A360="","",IFERROR(INDEX(Productos!$D$2:$D$1001,MATCH(A360,Productos!$A$2:$A$1001,0))&amp;" — "&amp;INDEX(Productos!$E$2:$E$1001,MATCH(A360,Productos!$A$2:$A$1001,0)),"SKU no existe en Productos"))</f>
        <v/>
      </c>
      <c r="C360" s="11"/>
      <c r="D360" s="11"/>
      <c r="E360" s="11"/>
      <c r="F360" s="12" t="str">
        <f aca="false">IF(A360="","",SUM(C360:E360))</f>
        <v/>
      </c>
      <c r="G360" s="16" t="str">
        <f aca="false">IF(A360="","",IFERROR(INDEX(Productos!$K$2:$K$1001,MATCH(A360,Productos!$A$2:$A$1001,0)),""))</f>
        <v/>
      </c>
      <c r="H360" s="16" t="str">
        <f aca="false">IF(OR(A360="",G360=""),"",F360*G360)</f>
        <v/>
      </c>
    </row>
    <row r="361" customFormat="false" ht="15" hidden="false" customHeight="false" outlineLevel="0" collapsed="false">
      <c r="A361" s="11"/>
      <c r="B361" s="12" t="str">
        <f aca="false">IF(A361="","",IFERROR(INDEX(Productos!$D$2:$D$1001,MATCH(A361,Productos!$A$2:$A$1001,0))&amp;" — "&amp;INDEX(Productos!$E$2:$E$1001,MATCH(A361,Productos!$A$2:$A$1001,0)),"SKU no existe en Productos"))</f>
        <v/>
      </c>
      <c r="C361" s="11"/>
      <c r="D361" s="11"/>
      <c r="E361" s="11"/>
      <c r="F361" s="12" t="str">
        <f aca="false">IF(A361="","",SUM(C361:E361))</f>
        <v/>
      </c>
      <c r="G361" s="16" t="str">
        <f aca="false">IF(A361="","",IFERROR(INDEX(Productos!$K$2:$K$1001,MATCH(A361,Productos!$A$2:$A$1001,0)),""))</f>
        <v/>
      </c>
      <c r="H361" s="16" t="str">
        <f aca="false">IF(OR(A361="",G361=""),"",F361*G361)</f>
        <v/>
      </c>
    </row>
    <row r="362" customFormat="false" ht="15" hidden="false" customHeight="false" outlineLevel="0" collapsed="false">
      <c r="A362" s="11"/>
      <c r="B362" s="12" t="str">
        <f aca="false">IF(A362="","",IFERROR(INDEX(Productos!$D$2:$D$1001,MATCH(A362,Productos!$A$2:$A$1001,0))&amp;" — "&amp;INDEX(Productos!$E$2:$E$1001,MATCH(A362,Productos!$A$2:$A$1001,0)),"SKU no existe en Productos"))</f>
        <v/>
      </c>
      <c r="C362" s="11"/>
      <c r="D362" s="11"/>
      <c r="E362" s="11"/>
      <c r="F362" s="12" t="str">
        <f aca="false">IF(A362="","",SUM(C362:E362))</f>
        <v/>
      </c>
      <c r="G362" s="16" t="str">
        <f aca="false">IF(A362="","",IFERROR(INDEX(Productos!$K$2:$K$1001,MATCH(A362,Productos!$A$2:$A$1001,0)),""))</f>
        <v/>
      </c>
      <c r="H362" s="16" t="str">
        <f aca="false">IF(OR(A362="",G362=""),"",F362*G362)</f>
        <v/>
      </c>
    </row>
    <row r="363" customFormat="false" ht="15" hidden="false" customHeight="false" outlineLevel="0" collapsed="false">
      <c r="A363" s="11"/>
      <c r="B363" s="12" t="str">
        <f aca="false">IF(A363="","",IFERROR(INDEX(Productos!$D$2:$D$1001,MATCH(A363,Productos!$A$2:$A$1001,0))&amp;" — "&amp;INDEX(Productos!$E$2:$E$1001,MATCH(A363,Productos!$A$2:$A$1001,0)),"SKU no existe en Productos"))</f>
        <v/>
      </c>
      <c r="C363" s="11"/>
      <c r="D363" s="11"/>
      <c r="E363" s="11"/>
      <c r="F363" s="12" t="str">
        <f aca="false">IF(A363="","",SUM(C363:E363))</f>
        <v/>
      </c>
      <c r="G363" s="16" t="str">
        <f aca="false">IF(A363="","",IFERROR(INDEX(Productos!$K$2:$K$1001,MATCH(A363,Productos!$A$2:$A$1001,0)),""))</f>
        <v/>
      </c>
      <c r="H363" s="16" t="str">
        <f aca="false">IF(OR(A363="",G363=""),"",F363*G363)</f>
        <v/>
      </c>
    </row>
    <row r="364" customFormat="false" ht="15" hidden="false" customHeight="false" outlineLevel="0" collapsed="false">
      <c r="A364" s="11"/>
      <c r="B364" s="12" t="str">
        <f aca="false">IF(A364="","",IFERROR(INDEX(Productos!$D$2:$D$1001,MATCH(A364,Productos!$A$2:$A$1001,0))&amp;" — "&amp;INDEX(Productos!$E$2:$E$1001,MATCH(A364,Productos!$A$2:$A$1001,0)),"SKU no existe en Productos"))</f>
        <v/>
      </c>
      <c r="C364" s="11"/>
      <c r="D364" s="11"/>
      <c r="E364" s="11"/>
      <c r="F364" s="12" t="str">
        <f aca="false">IF(A364="","",SUM(C364:E364))</f>
        <v/>
      </c>
      <c r="G364" s="16" t="str">
        <f aca="false">IF(A364="","",IFERROR(INDEX(Productos!$K$2:$K$1001,MATCH(A364,Productos!$A$2:$A$1001,0)),""))</f>
        <v/>
      </c>
      <c r="H364" s="16" t="str">
        <f aca="false">IF(OR(A364="",G364=""),"",F364*G364)</f>
        <v/>
      </c>
    </row>
    <row r="365" customFormat="false" ht="15" hidden="false" customHeight="false" outlineLevel="0" collapsed="false">
      <c r="A365" s="11"/>
      <c r="B365" s="12" t="str">
        <f aca="false">IF(A365="","",IFERROR(INDEX(Productos!$D$2:$D$1001,MATCH(A365,Productos!$A$2:$A$1001,0))&amp;" — "&amp;INDEX(Productos!$E$2:$E$1001,MATCH(A365,Productos!$A$2:$A$1001,0)),"SKU no existe en Productos"))</f>
        <v/>
      </c>
      <c r="C365" s="11"/>
      <c r="D365" s="11"/>
      <c r="E365" s="11"/>
      <c r="F365" s="12" t="str">
        <f aca="false">IF(A365="","",SUM(C365:E365))</f>
        <v/>
      </c>
      <c r="G365" s="16" t="str">
        <f aca="false">IF(A365="","",IFERROR(INDEX(Productos!$K$2:$K$1001,MATCH(A365,Productos!$A$2:$A$1001,0)),""))</f>
        <v/>
      </c>
      <c r="H365" s="16" t="str">
        <f aca="false">IF(OR(A365="",G365=""),"",F365*G365)</f>
        <v/>
      </c>
    </row>
    <row r="366" customFormat="false" ht="15" hidden="false" customHeight="false" outlineLevel="0" collapsed="false">
      <c r="A366" s="11"/>
      <c r="B366" s="12" t="str">
        <f aca="false">IF(A366="","",IFERROR(INDEX(Productos!$D$2:$D$1001,MATCH(A366,Productos!$A$2:$A$1001,0))&amp;" — "&amp;INDEX(Productos!$E$2:$E$1001,MATCH(A366,Productos!$A$2:$A$1001,0)),"SKU no existe en Productos"))</f>
        <v/>
      </c>
      <c r="C366" s="11"/>
      <c r="D366" s="11"/>
      <c r="E366" s="11"/>
      <c r="F366" s="12" t="str">
        <f aca="false">IF(A366="","",SUM(C366:E366))</f>
        <v/>
      </c>
      <c r="G366" s="16" t="str">
        <f aca="false">IF(A366="","",IFERROR(INDEX(Productos!$K$2:$K$1001,MATCH(A366,Productos!$A$2:$A$1001,0)),""))</f>
        <v/>
      </c>
      <c r="H366" s="16" t="str">
        <f aca="false">IF(OR(A366="",G366=""),"",F366*G366)</f>
        <v/>
      </c>
    </row>
    <row r="367" customFormat="false" ht="15" hidden="false" customHeight="false" outlineLevel="0" collapsed="false">
      <c r="A367" s="11"/>
      <c r="B367" s="12" t="str">
        <f aca="false">IF(A367="","",IFERROR(INDEX(Productos!$D$2:$D$1001,MATCH(A367,Productos!$A$2:$A$1001,0))&amp;" — "&amp;INDEX(Productos!$E$2:$E$1001,MATCH(A367,Productos!$A$2:$A$1001,0)),"SKU no existe en Productos"))</f>
        <v/>
      </c>
      <c r="C367" s="11"/>
      <c r="D367" s="11"/>
      <c r="E367" s="11"/>
      <c r="F367" s="12" t="str">
        <f aca="false">IF(A367="","",SUM(C367:E367))</f>
        <v/>
      </c>
      <c r="G367" s="16" t="str">
        <f aca="false">IF(A367="","",IFERROR(INDEX(Productos!$K$2:$K$1001,MATCH(A367,Productos!$A$2:$A$1001,0)),""))</f>
        <v/>
      </c>
      <c r="H367" s="16" t="str">
        <f aca="false">IF(OR(A367="",G367=""),"",F367*G367)</f>
        <v/>
      </c>
    </row>
    <row r="368" customFormat="false" ht="15" hidden="false" customHeight="false" outlineLevel="0" collapsed="false">
      <c r="A368" s="11"/>
      <c r="B368" s="12" t="str">
        <f aca="false">IF(A368="","",IFERROR(INDEX(Productos!$D$2:$D$1001,MATCH(A368,Productos!$A$2:$A$1001,0))&amp;" — "&amp;INDEX(Productos!$E$2:$E$1001,MATCH(A368,Productos!$A$2:$A$1001,0)),"SKU no existe en Productos"))</f>
        <v/>
      </c>
      <c r="C368" s="11"/>
      <c r="D368" s="11"/>
      <c r="E368" s="11"/>
      <c r="F368" s="12" t="str">
        <f aca="false">IF(A368="","",SUM(C368:E368))</f>
        <v/>
      </c>
      <c r="G368" s="16" t="str">
        <f aca="false">IF(A368="","",IFERROR(INDEX(Productos!$K$2:$K$1001,MATCH(A368,Productos!$A$2:$A$1001,0)),""))</f>
        <v/>
      </c>
      <c r="H368" s="16" t="str">
        <f aca="false">IF(OR(A368="",G368=""),"",F368*G368)</f>
        <v/>
      </c>
    </row>
    <row r="369" customFormat="false" ht="15" hidden="false" customHeight="false" outlineLevel="0" collapsed="false">
      <c r="A369" s="11"/>
      <c r="B369" s="12" t="str">
        <f aca="false">IF(A369="","",IFERROR(INDEX(Productos!$D$2:$D$1001,MATCH(A369,Productos!$A$2:$A$1001,0))&amp;" — "&amp;INDEX(Productos!$E$2:$E$1001,MATCH(A369,Productos!$A$2:$A$1001,0)),"SKU no existe en Productos"))</f>
        <v/>
      </c>
      <c r="C369" s="11"/>
      <c r="D369" s="11"/>
      <c r="E369" s="11"/>
      <c r="F369" s="12" t="str">
        <f aca="false">IF(A369="","",SUM(C369:E369))</f>
        <v/>
      </c>
      <c r="G369" s="16" t="str">
        <f aca="false">IF(A369="","",IFERROR(INDEX(Productos!$K$2:$K$1001,MATCH(A369,Productos!$A$2:$A$1001,0)),""))</f>
        <v/>
      </c>
      <c r="H369" s="16" t="str">
        <f aca="false">IF(OR(A369="",G369=""),"",F369*G369)</f>
        <v/>
      </c>
    </row>
    <row r="370" customFormat="false" ht="15" hidden="false" customHeight="false" outlineLevel="0" collapsed="false">
      <c r="A370" s="11"/>
      <c r="B370" s="12" t="str">
        <f aca="false">IF(A370="","",IFERROR(INDEX(Productos!$D$2:$D$1001,MATCH(A370,Productos!$A$2:$A$1001,0))&amp;" — "&amp;INDEX(Productos!$E$2:$E$1001,MATCH(A370,Productos!$A$2:$A$1001,0)),"SKU no existe en Productos"))</f>
        <v/>
      </c>
      <c r="C370" s="11"/>
      <c r="D370" s="11"/>
      <c r="E370" s="11"/>
      <c r="F370" s="12" t="str">
        <f aca="false">IF(A370="","",SUM(C370:E370))</f>
        <v/>
      </c>
      <c r="G370" s="16" t="str">
        <f aca="false">IF(A370="","",IFERROR(INDEX(Productos!$K$2:$K$1001,MATCH(A370,Productos!$A$2:$A$1001,0)),""))</f>
        <v/>
      </c>
      <c r="H370" s="16" t="str">
        <f aca="false">IF(OR(A370="",G370=""),"",F370*G370)</f>
        <v/>
      </c>
    </row>
    <row r="371" customFormat="false" ht="15" hidden="false" customHeight="false" outlineLevel="0" collapsed="false">
      <c r="A371" s="11"/>
      <c r="B371" s="12" t="str">
        <f aca="false">IF(A371="","",IFERROR(INDEX(Productos!$D$2:$D$1001,MATCH(A371,Productos!$A$2:$A$1001,0))&amp;" — "&amp;INDEX(Productos!$E$2:$E$1001,MATCH(A371,Productos!$A$2:$A$1001,0)),"SKU no existe en Productos"))</f>
        <v/>
      </c>
      <c r="C371" s="11"/>
      <c r="D371" s="11"/>
      <c r="E371" s="11"/>
      <c r="F371" s="12" t="str">
        <f aca="false">IF(A371="","",SUM(C371:E371))</f>
        <v/>
      </c>
      <c r="G371" s="16" t="str">
        <f aca="false">IF(A371="","",IFERROR(INDEX(Productos!$K$2:$K$1001,MATCH(A371,Productos!$A$2:$A$1001,0)),""))</f>
        <v/>
      </c>
      <c r="H371" s="16" t="str">
        <f aca="false">IF(OR(A371="",G371=""),"",F371*G371)</f>
        <v/>
      </c>
    </row>
    <row r="372" customFormat="false" ht="15" hidden="false" customHeight="false" outlineLevel="0" collapsed="false">
      <c r="A372" s="11"/>
      <c r="B372" s="12" t="str">
        <f aca="false">IF(A372="","",IFERROR(INDEX(Productos!$D$2:$D$1001,MATCH(A372,Productos!$A$2:$A$1001,0))&amp;" — "&amp;INDEX(Productos!$E$2:$E$1001,MATCH(A372,Productos!$A$2:$A$1001,0)),"SKU no existe en Productos"))</f>
        <v/>
      </c>
      <c r="C372" s="11"/>
      <c r="D372" s="11"/>
      <c r="E372" s="11"/>
      <c r="F372" s="12" t="str">
        <f aca="false">IF(A372="","",SUM(C372:E372))</f>
        <v/>
      </c>
      <c r="G372" s="16" t="str">
        <f aca="false">IF(A372="","",IFERROR(INDEX(Productos!$K$2:$K$1001,MATCH(A372,Productos!$A$2:$A$1001,0)),""))</f>
        <v/>
      </c>
      <c r="H372" s="16" t="str">
        <f aca="false">IF(OR(A372="",G372=""),"",F372*G372)</f>
        <v/>
      </c>
    </row>
    <row r="373" customFormat="false" ht="15" hidden="false" customHeight="false" outlineLevel="0" collapsed="false">
      <c r="A373" s="11"/>
      <c r="B373" s="12" t="str">
        <f aca="false">IF(A373="","",IFERROR(INDEX(Productos!$D$2:$D$1001,MATCH(A373,Productos!$A$2:$A$1001,0))&amp;" — "&amp;INDEX(Productos!$E$2:$E$1001,MATCH(A373,Productos!$A$2:$A$1001,0)),"SKU no existe en Productos"))</f>
        <v/>
      </c>
      <c r="C373" s="11"/>
      <c r="D373" s="11"/>
      <c r="E373" s="11"/>
      <c r="F373" s="12" t="str">
        <f aca="false">IF(A373="","",SUM(C373:E373))</f>
        <v/>
      </c>
      <c r="G373" s="16" t="str">
        <f aca="false">IF(A373="","",IFERROR(INDEX(Productos!$K$2:$K$1001,MATCH(A373,Productos!$A$2:$A$1001,0)),""))</f>
        <v/>
      </c>
      <c r="H373" s="16" t="str">
        <f aca="false">IF(OR(A373="",G373=""),"",F373*G373)</f>
        <v/>
      </c>
    </row>
    <row r="374" customFormat="false" ht="15" hidden="false" customHeight="false" outlineLevel="0" collapsed="false">
      <c r="A374" s="11"/>
      <c r="B374" s="12" t="str">
        <f aca="false">IF(A374="","",IFERROR(INDEX(Productos!$D$2:$D$1001,MATCH(A374,Productos!$A$2:$A$1001,0))&amp;" — "&amp;INDEX(Productos!$E$2:$E$1001,MATCH(A374,Productos!$A$2:$A$1001,0)),"SKU no existe en Productos"))</f>
        <v/>
      </c>
      <c r="C374" s="11"/>
      <c r="D374" s="11"/>
      <c r="E374" s="11"/>
      <c r="F374" s="12" t="str">
        <f aca="false">IF(A374="","",SUM(C374:E374))</f>
        <v/>
      </c>
      <c r="G374" s="16" t="str">
        <f aca="false">IF(A374="","",IFERROR(INDEX(Productos!$K$2:$K$1001,MATCH(A374,Productos!$A$2:$A$1001,0)),""))</f>
        <v/>
      </c>
      <c r="H374" s="16" t="str">
        <f aca="false">IF(OR(A374="",G374=""),"",F374*G374)</f>
        <v/>
      </c>
    </row>
    <row r="375" customFormat="false" ht="15" hidden="false" customHeight="false" outlineLevel="0" collapsed="false">
      <c r="A375" s="11"/>
      <c r="B375" s="12" t="str">
        <f aca="false">IF(A375="","",IFERROR(INDEX(Productos!$D$2:$D$1001,MATCH(A375,Productos!$A$2:$A$1001,0))&amp;" — "&amp;INDEX(Productos!$E$2:$E$1001,MATCH(A375,Productos!$A$2:$A$1001,0)),"SKU no existe en Productos"))</f>
        <v/>
      </c>
      <c r="C375" s="11"/>
      <c r="D375" s="11"/>
      <c r="E375" s="11"/>
      <c r="F375" s="12" t="str">
        <f aca="false">IF(A375="","",SUM(C375:E375))</f>
        <v/>
      </c>
      <c r="G375" s="16" t="str">
        <f aca="false">IF(A375="","",IFERROR(INDEX(Productos!$K$2:$K$1001,MATCH(A375,Productos!$A$2:$A$1001,0)),""))</f>
        <v/>
      </c>
      <c r="H375" s="16" t="str">
        <f aca="false">IF(OR(A375="",G375=""),"",F375*G375)</f>
        <v/>
      </c>
    </row>
    <row r="376" customFormat="false" ht="15" hidden="false" customHeight="false" outlineLevel="0" collapsed="false">
      <c r="A376" s="11"/>
      <c r="B376" s="12" t="str">
        <f aca="false">IF(A376="","",IFERROR(INDEX(Productos!$D$2:$D$1001,MATCH(A376,Productos!$A$2:$A$1001,0))&amp;" — "&amp;INDEX(Productos!$E$2:$E$1001,MATCH(A376,Productos!$A$2:$A$1001,0)),"SKU no existe en Productos"))</f>
        <v/>
      </c>
      <c r="C376" s="11"/>
      <c r="D376" s="11"/>
      <c r="E376" s="11"/>
      <c r="F376" s="12" t="str">
        <f aca="false">IF(A376="","",SUM(C376:E376))</f>
        <v/>
      </c>
      <c r="G376" s="16" t="str">
        <f aca="false">IF(A376="","",IFERROR(INDEX(Productos!$K$2:$K$1001,MATCH(A376,Productos!$A$2:$A$1001,0)),""))</f>
        <v/>
      </c>
      <c r="H376" s="16" t="str">
        <f aca="false">IF(OR(A376="",G376=""),"",F376*G376)</f>
        <v/>
      </c>
    </row>
    <row r="377" customFormat="false" ht="15" hidden="false" customHeight="false" outlineLevel="0" collapsed="false">
      <c r="A377" s="11"/>
      <c r="B377" s="12" t="str">
        <f aca="false">IF(A377="","",IFERROR(INDEX(Productos!$D$2:$D$1001,MATCH(A377,Productos!$A$2:$A$1001,0))&amp;" — "&amp;INDEX(Productos!$E$2:$E$1001,MATCH(A377,Productos!$A$2:$A$1001,0)),"SKU no existe en Productos"))</f>
        <v/>
      </c>
      <c r="C377" s="11"/>
      <c r="D377" s="11"/>
      <c r="E377" s="11"/>
      <c r="F377" s="12" t="str">
        <f aca="false">IF(A377="","",SUM(C377:E377))</f>
        <v/>
      </c>
      <c r="G377" s="16" t="str">
        <f aca="false">IF(A377="","",IFERROR(INDEX(Productos!$K$2:$K$1001,MATCH(A377,Productos!$A$2:$A$1001,0)),""))</f>
        <v/>
      </c>
      <c r="H377" s="16" t="str">
        <f aca="false">IF(OR(A377="",G377=""),"",F377*G377)</f>
        <v/>
      </c>
    </row>
    <row r="378" customFormat="false" ht="15" hidden="false" customHeight="false" outlineLevel="0" collapsed="false">
      <c r="A378" s="11"/>
      <c r="B378" s="12" t="str">
        <f aca="false">IF(A378="","",IFERROR(INDEX(Productos!$D$2:$D$1001,MATCH(A378,Productos!$A$2:$A$1001,0))&amp;" — "&amp;INDEX(Productos!$E$2:$E$1001,MATCH(A378,Productos!$A$2:$A$1001,0)),"SKU no existe en Productos"))</f>
        <v/>
      </c>
      <c r="C378" s="11"/>
      <c r="D378" s="11"/>
      <c r="E378" s="11"/>
      <c r="F378" s="12" t="str">
        <f aca="false">IF(A378="","",SUM(C378:E378))</f>
        <v/>
      </c>
      <c r="G378" s="16" t="str">
        <f aca="false">IF(A378="","",IFERROR(INDEX(Productos!$K$2:$K$1001,MATCH(A378,Productos!$A$2:$A$1001,0)),""))</f>
        <v/>
      </c>
      <c r="H378" s="16" t="str">
        <f aca="false">IF(OR(A378="",G378=""),"",F378*G378)</f>
        <v/>
      </c>
    </row>
    <row r="379" customFormat="false" ht="15" hidden="false" customHeight="false" outlineLevel="0" collapsed="false">
      <c r="A379" s="11"/>
      <c r="B379" s="12" t="str">
        <f aca="false">IF(A379="","",IFERROR(INDEX(Productos!$D$2:$D$1001,MATCH(A379,Productos!$A$2:$A$1001,0))&amp;" — "&amp;INDEX(Productos!$E$2:$E$1001,MATCH(A379,Productos!$A$2:$A$1001,0)),"SKU no existe en Productos"))</f>
        <v/>
      </c>
      <c r="C379" s="11"/>
      <c r="D379" s="11"/>
      <c r="E379" s="11"/>
      <c r="F379" s="12" t="str">
        <f aca="false">IF(A379="","",SUM(C379:E379))</f>
        <v/>
      </c>
      <c r="G379" s="16" t="str">
        <f aca="false">IF(A379="","",IFERROR(INDEX(Productos!$K$2:$K$1001,MATCH(A379,Productos!$A$2:$A$1001,0)),""))</f>
        <v/>
      </c>
      <c r="H379" s="16" t="str">
        <f aca="false">IF(OR(A379="",G379=""),"",F379*G379)</f>
        <v/>
      </c>
    </row>
    <row r="380" customFormat="false" ht="15" hidden="false" customHeight="false" outlineLevel="0" collapsed="false">
      <c r="A380" s="11"/>
      <c r="B380" s="12" t="str">
        <f aca="false">IF(A380="","",IFERROR(INDEX(Productos!$D$2:$D$1001,MATCH(A380,Productos!$A$2:$A$1001,0))&amp;" — "&amp;INDEX(Productos!$E$2:$E$1001,MATCH(A380,Productos!$A$2:$A$1001,0)),"SKU no existe en Productos"))</f>
        <v/>
      </c>
      <c r="C380" s="11"/>
      <c r="D380" s="11"/>
      <c r="E380" s="11"/>
      <c r="F380" s="12" t="str">
        <f aca="false">IF(A380="","",SUM(C380:E380))</f>
        <v/>
      </c>
      <c r="G380" s="16" t="str">
        <f aca="false">IF(A380="","",IFERROR(INDEX(Productos!$K$2:$K$1001,MATCH(A380,Productos!$A$2:$A$1001,0)),""))</f>
        <v/>
      </c>
      <c r="H380" s="16" t="str">
        <f aca="false">IF(OR(A380="",G380=""),"",F380*G380)</f>
        <v/>
      </c>
    </row>
    <row r="381" customFormat="false" ht="15" hidden="false" customHeight="false" outlineLevel="0" collapsed="false">
      <c r="A381" s="11"/>
      <c r="B381" s="12" t="str">
        <f aca="false">IF(A381="","",IFERROR(INDEX(Productos!$D$2:$D$1001,MATCH(A381,Productos!$A$2:$A$1001,0))&amp;" — "&amp;INDEX(Productos!$E$2:$E$1001,MATCH(A381,Productos!$A$2:$A$1001,0)),"SKU no existe en Productos"))</f>
        <v/>
      </c>
      <c r="C381" s="11"/>
      <c r="D381" s="11"/>
      <c r="E381" s="11"/>
      <c r="F381" s="12" t="str">
        <f aca="false">IF(A381="","",SUM(C381:E381))</f>
        <v/>
      </c>
      <c r="G381" s="16" t="str">
        <f aca="false">IF(A381="","",IFERROR(INDEX(Productos!$K$2:$K$1001,MATCH(A381,Productos!$A$2:$A$1001,0)),""))</f>
        <v/>
      </c>
      <c r="H381" s="16" t="str">
        <f aca="false">IF(OR(A381="",G381=""),"",F381*G381)</f>
        <v/>
      </c>
    </row>
    <row r="382" customFormat="false" ht="15" hidden="false" customHeight="false" outlineLevel="0" collapsed="false">
      <c r="A382" s="11"/>
      <c r="B382" s="12" t="str">
        <f aca="false">IF(A382="","",IFERROR(INDEX(Productos!$D$2:$D$1001,MATCH(A382,Productos!$A$2:$A$1001,0))&amp;" — "&amp;INDEX(Productos!$E$2:$E$1001,MATCH(A382,Productos!$A$2:$A$1001,0)),"SKU no existe en Productos"))</f>
        <v/>
      </c>
      <c r="C382" s="11"/>
      <c r="D382" s="11"/>
      <c r="E382" s="11"/>
      <c r="F382" s="12" t="str">
        <f aca="false">IF(A382="","",SUM(C382:E382))</f>
        <v/>
      </c>
      <c r="G382" s="16" t="str">
        <f aca="false">IF(A382="","",IFERROR(INDEX(Productos!$K$2:$K$1001,MATCH(A382,Productos!$A$2:$A$1001,0)),""))</f>
        <v/>
      </c>
      <c r="H382" s="16" t="str">
        <f aca="false">IF(OR(A382="",G382=""),"",F382*G382)</f>
        <v/>
      </c>
    </row>
    <row r="383" customFormat="false" ht="15" hidden="false" customHeight="false" outlineLevel="0" collapsed="false">
      <c r="A383" s="11"/>
      <c r="B383" s="12" t="str">
        <f aca="false">IF(A383="","",IFERROR(INDEX(Productos!$D$2:$D$1001,MATCH(A383,Productos!$A$2:$A$1001,0))&amp;" — "&amp;INDEX(Productos!$E$2:$E$1001,MATCH(A383,Productos!$A$2:$A$1001,0)),"SKU no existe en Productos"))</f>
        <v/>
      </c>
      <c r="C383" s="11"/>
      <c r="D383" s="11"/>
      <c r="E383" s="11"/>
      <c r="F383" s="12" t="str">
        <f aca="false">IF(A383="","",SUM(C383:E383))</f>
        <v/>
      </c>
      <c r="G383" s="16" t="str">
        <f aca="false">IF(A383="","",IFERROR(INDEX(Productos!$K$2:$K$1001,MATCH(A383,Productos!$A$2:$A$1001,0)),""))</f>
        <v/>
      </c>
      <c r="H383" s="16" t="str">
        <f aca="false">IF(OR(A383="",G383=""),"",F383*G383)</f>
        <v/>
      </c>
    </row>
    <row r="384" customFormat="false" ht="15" hidden="false" customHeight="false" outlineLevel="0" collapsed="false">
      <c r="A384" s="11"/>
      <c r="B384" s="12" t="str">
        <f aca="false">IF(A384="","",IFERROR(INDEX(Productos!$D$2:$D$1001,MATCH(A384,Productos!$A$2:$A$1001,0))&amp;" — "&amp;INDEX(Productos!$E$2:$E$1001,MATCH(A384,Productos!$A$2:$A$1001,0)),"SKU no existe en Productos"))</f>
        <v/>
      </c>
      <c r="C384" s="11"/>
      <c r="D384" s="11"/>
      <c r="E384" s="11"/>
      <c r="F384" s="12" t="str">
        <f aca="false">IF(A384="","",SUM(C384:E384))</f>
        <v/>
      </c>
      <c r="G384" s="16" t="str">
        <f aca="false">IF(A384="","",IFERROR(INDEX(Productos!$K$2:$K$1001,MATCH(A384,Productos!$A$2:$A$1001,0)),""))</f>
        <v/>
      </c>
      <c r="H384" s="16" t="str">
        <f aca="false">IF(OR(A384="",G384=""),"",F384*G384)</f>
        <v/>
      </c>
    </row>
    <row r="385" customFormat="false" ht="15" hidden="false" customHeight="false" outlineLevel="0" collapsed="false">
      <c r="A385" s="11"/>
      <c r="B385" s="12" t="str">
        <f aca="false">IF(A385="","",IFERROR(INDEX(Productos!$D$2:$D$1001,MATCH(A385,Productos!$A$2:$A$1001,0))&amp;" — "&amp;INDEX(Productos!$E$2:$E$1001,MATCH(A385,Productos!$A$2:$A$1001,0)),"SKU no existe en Productos"))</f>
        <v/>
      </c>
      <c r="C385" s="11"/>
      <c r="D385" s="11"/>
      <c r="E385" s="11"/>
      <c r="F385" s="12" t="str">
        <f aca="false">IF(A385="","",SUM(C385:E385))</f>
        <v/>
      </c>
      <c r="G385" s="16" t="str">
        <f aca="false">IF(A385="","",IFERROR(INDEX(Productos!$K$2:$K$1001,MATCH(A385,Productos!$A$2:$A$1001,0)),""))</f>
        <v/>
      </c>
      <c r="H385" s="16" t="str">
        <f aca="false">IF(OR(A385="",G385=""),"",F385*G385)</f>
        <v/>
      </c>
    </row>
    <row r="386" customFormat="false" ht="15" hidden="false" customHeight="false" outlineLevel="0" collapsed="false">
      <c r="A386" s="11"/>
      <c r="B386" s="12" t="str">
        <f aca="false">IF(A386="","",IFERROR(INDEX(Productos!$D$2:$D$1001,MATCH(A386,Productos!$A$2:$A$1001,0))&amp;" — "&amp;INDEX(Productos!$E$2:$E$1001,MATCH(A386,Productos!$A$2:$A$1001,0)),"SKU no existe en Productos"))</f>
        <v/>
      </c>
      <c r="C386" s="11"/>
      <c r="D386" s="11"/>
      <c r="E386" s="11"/>
      <c r="F386" s="12" t="str">
        <f aca="false">IF(A386="","",SUM(C386:E386))</f>
        <v/>
      </c>
      <c r="G386" s="16" t="str">
        <f aca="false">IF(A386="","",IFERROR(INDEX(Productos!$K$2:$K$1001,MATCH(A386,Productos!$A$2:$A$1001,0)),""))</f>
        <v/>
      </c>
      <c r="H386" s="16" t="str">
        <f aca="false">IF(OR(A386="",G386=""),"",F386*G386)</f>
        <v/>
      </c>
    </row>
    <row r="387" customFormat="false" ht="15" hidden="false" customHeight="false" outlineLevel="0" collapsed="false">
      <c r="A387" s="11"/>
      <c r="B387" s="12" t="str">
        <f aca="false">IF(A387="","",IFERROR(INDEX(Productos!$D$2:$D$1001,MATCH(A387,Productos!$A$2:$A$1001,0))&amp;" — "&amp;INDEX(Productos!$E$2:$E$1001,MATCH(A387,Productos!$A$2:$A$1001,0)),"SKU no existe en Productos"))</f>
        <v/>
      </c>
      <c r="C387" s="11"/>
      <c r="D387" s="11"/>
      <c r="E387" s="11"/>
      <c r="F387" s="12" t="str">
        <f aca="false">IF(A387="","",SUM(C387:E387))</f>
        <v/>
      </c>
      <c r="G387" s="16" t="str">
        <f aca="false">IF(A387="","",IFERROR(INDEX(Productos!$K$2:$K$1001,MATCH(A387,Productos!$A$2:$A$1001,0)),""))</f>
        <v/>
      </c>
      <c r="H387" s="16" t="str">
        <f aca="false">IF(OR(A387="",G387=""),"",F387*G387)</f>
        <v/>
      </c>
    </row>
    <row r="388" customFormat="false" ht="15" hidden="false" customHeight="false" outlineLevel="0" collapsed="false">
      <c r="A388" s="11"/>
      <c r="B388" s="12" t="str">
        <f aca="false">IF(A388="","",IFERROR(INDEX(Productos!$D$2:$D$1001,MATCH(A388,Productos!$A$2:$A$1001,0))&amp;" — "&amp;INDEX(Productos!$E$2:$E$1001,MATCH(A388,Productos!$A$2:$A$1001,0)),"SKU no existe en Productos"))</f>
        <v/>
      </c>
      <c r="C388" s="11"/>
      <c r="D388" s="11"/>
      <c r="E388" s="11"/>
      <c r="F388" s="12" t="str">
        <f aca="false">IF(A388="","",SUM(C388:E388))</f>
        <v/>
      </c>
      <c r="G388" s="16" t="str">
        <f aca="false">IF(A388="","",IFERROR(INDEX(Productos!$K$2:$K$1001,MATCH(A388,Productos!$A$2:$A$1001,0)),""))</f>
        <v/>
      </c>
      <c r="H388" s="16" t="str">
        <f aca="false">IF(OR(A388="",G388=""),"",F388*G388)</f>
        <v/>
      </c>
    </row>
    <row r="389" customFormat="false" ht="15" hidden="false" customHeight="false" outlineLevel="0" collapsed="false">
      <c r="A389" s="11"/>
      <c r="B389" s="12" t="str">
        <f aca="false">IF(A389="","",IFERROR(INDEX(Productos!$D$2:$D$1001,MATCH(A389,Productos!$A$2:$A$1001,0))&amp;" — "&amp;INDEX(Productos!$E$2:$E$1001,MATCH(A389,Productos!$A$2:$A$1001,0)),"SKU no existe en Productos"))</f>
        <v/>
      </c>
      <c r="C389" s="11"/>
      <c r="D389" s="11"/>
      <c r="E389" s="11"/>
      <c r="F389" s="12" t="str">
        <f aca="false">IF(A389="","",SUM(C389:E389))</f>
        <v/>
      </c>
      <c r="G389" s="16" t="str">
        <f aca="false">IF(A389="","",IFERROR(INDEX(Productos!$K$2:$K$1001,MATCH(A389,Productos!$A$2:$A$1001,0)),""))</f>
        <v/>
      </c>
      <c r="H389" s="16" t="str">
        <f aca="false">IF(OR(A389="",G389=""),"",F389*G389)</f>
        <v/>
      </c>
    </row>
    <row r="390" customFormat="false" ht="15" hidden="false" customHeight="false" outlineLevel="0" collapsed="false">
      <c r="A390" s="11"/>
      <c r="B390" s="12" t="str">
        <f aca="false">IF(A390="","",IFERROR(INDEX(Productos!$D$2:$D$1001,MATCH(A390,Productos!$A$2:$A$1001,0))&amp;" — "&amp;INDEX(Productos!$E$2:$E$1001,MATCH(A390,Productos!$A$2:$A$1001,0)),"SKU no existe en Productos"))</f>
        <v/>
      </c>
      <c r="C390" s="11"/>
      <c r="D390" s="11"/>
      <c r="E390" s="11"/>
      <c r="F390" s="12" t="str">
        <f aca="false">IF(A390="","",SUM(C390:E390))</f>
        <v/>
      </c>
      <c r="G390" s="16" t="str">
        <f aca="false">IF(A390="","",IFERROR(INDEX(Productos!$K$2:$K$1001,MATCH(A390,Productos!$A$2:$A$1001,0)),""))</f>
        <v/>
      </c>
      <c r="H390" s="16" t="str">
        <f aca="false">IF(OR(A390="",G390=""),"",F390*G390)</f>
        <v/>
      </c>
    </row>
    <row r="391" customFormat="false" ht="15" hidden="false" customHeight="false" outlineLevel="0" collapsed="false">
      <c r="A391" s="11"/>
      <c r="B391" s="12" t="str">
        <f aca="false">IF(A391="","",IFERROR(INDEX(Productos!$D$2:$D$1001,MATCH(A391,Productos!$A$2:$A$1001,0))&amp;" — "&amp;INDEX(Productos!$E$2:$E$1001,MATCH(A391,Productos!$A$2:$A$1001,0)),"SKU no existe en Productos"))</f>
        <v/>
      </c>
      <c r="C391" s="11"/>
      <c r="D391" s="11"/>
      <c r="E391" s="11"/>
      <c r="F391" s="12" t="str">
        <f aca="false">IF(A391="","",SUM(C391:E391))</f>
        <v/>
      </c>
      <c r="G391" s="16" t="str">
        <f aca="false">IF(A391="","",IFERROR(INDEX(Productos!$K$2:$K$1001,MATCH(A391,Productos!$A$2:$A$1001,0)),""))</f>
        <v/>
      </c>
      <c r="H391" s="16" t="str">
        <f aca="false">IF(OR(A391="",G391=""),"",F391*G391)</f>
        <v/>
      </c>
    </row>
    <row r="392" customFormat="false" ht="15" hidden="false" customHeight="false" outlineLevel="0" collapsed="false">
      <c r="A392" s="11"/>
      <c r="B392" s="12" t="str">
        <f aca="false">IF(A392="","",IFERROR(INDEX(Productos!$D$2:$D$1001,MATCH(A392,Productos!$A$2:$A$1001,0))&amp;" — "&amp;INDEX(Productos!$E$2:$E$1001,MATCH(A392,Productos!$A$2:$A$1001,0)),"SKU no existe en Productos"))</f>
        <v/>
      </c>
      <c r="C392" s="11"/>
      <c r="D392" s="11"/>
      <c r="E392" s="11"/>
      <c r="F392" s="12" t="str">
        <f aca="false">IF(A392="","",SUM(C392:E392))</f>
        <v/>
      </c>
      <c r="G392" s="16" t="str">
        <f aca="false">IF(A392="","",IFERROR(INDEX(Productos!$K$2:$K$1001,MATCH(A392,Productos!$A$2:$A$1001,0)),""))</f>
        <v/>
      </c>
      <c r="H392" s="16" t="str">
        <f aca="false">IF(OR(A392="",G392=""),"",F392*G392)</f>
        <v/>
      </c>
    </row>
    <row r="393" customFormat="false" ht="15" hidden="false" customHeight="false" outlineLevel="0" collapsed="false">
      <c r="A393" s="11"/>
      <c r="B393" s="12" t="str">
        <f aca="false">IF(A393="","",IFERROR(INDEX(Productos!$D$2:$D$1001,MATCH(A393,Productos!$A$2:$A$1001,0))&amp;" — "&amp;INDEX(Productos!$E$2:$E$1001,MATCH(A393,Productos!$A$2:$A$1001,0)),"SKU no existe en Productos"))</f>
        <v/>
      </c>
      <c r="C393" s="11"/>
      <c r="D393" s="11"/>
      <c r="E393" s="11"/>
      <c r="F393" s="12" t="str">
        <f aca="false">IF(A393="","",SUM(C393:E393))</f>
        <v/>
      </c>
      <c r="G393" s="16" t="str">
        <f aca="false">IF(A393="","",IFERROR(INDEX(Productos!$K$2:$K$1001,MATCH(A393,Productos!$A$2:$A$1001,0)),""))</f>
        <v/>
      </c>
      <c r="H393" s="16" t="str">
        <f aca="false">IF(OR(A393="",G393=""),"",F393*G393)</f>
        <v/>
      </c>
    </row>
    <row r="394" customFormat="false" ht="15" hidden="false" customHeight="false" outlineLevel="0" collapsed="false">
      <c r="A394" s="11"/>
      <c r="B394" s="12" t="str">
        <f aca="false">IF(A394="","",IFERROR(INDEX(Productos!$D$2:$D$1001,MATCH(A394,Productos!$A$2:$A$1001,0))&amp;" — "&amp;INDEX(Productos!$E$2:$E$1001,MATCH(A394,Productos!$A$2:$A$1001,0)),"SKU no existe en Productos"))</f>
        <v/>
      </c>
      <c r="C394" s="11"/>
      <c r="D394" s="11"/>
      <c r="E394" s="11"/>
      <c r="F394" s="12" t="str">
        <f aca="false">IF(A394="","",SUM(C394:E394))</f>
        <v/>
      </c>
      <c r="G394" s="16" t="str">
        <f aca="false">IF(A394="","",IFERROR(INDEX(Productos!$K$2:$K$1001,MATCH(A394,Productos!$A$2:$A$1001,0)),""))</f>
        <v/>
      </c>
      <c r="H394" s="16" t="str">
        <f aca="false">IF(OR(A394="",G394=""),"",F394*G394)</f>
        <v/>
      </c>
    </row>
    <row r="395" customFormat="false" ht="15" hidden="false" customHeight="false" outlineLevel="0" collapsed="false">
      <c r="A395" s="11"/>
      <c r="B395" s="12" t="str">
        <f aca="false">IF(A395="","",IFERROR(INDEX(Productos!$D$2:$D$1001,MATCH(A395,Productos!$A$2:$A$1001,0))&amp;" — "&amp;INDEX(Productos!$E$2:$E$1001,MATCH(A395,Productos!$A$2:$A$1001,0)),"SKU no existe en Productos"))</f>
        <v/>
      </c>
      <c r="C395" s="11"/>
      <c r="D395" s="11"/>
      <c r="E395" s="11"/>
      <c r="F395" s="12" t="str">
        <f aca="false">IF(A395="","",SUM(C395:E395))</f>
        <v/>
      </c>
      <c r="G395" s="16" t="str">
        <f aca="false">IF(A395="","",IFERROR(INDEX(Productos!$K$2:$K$1001,MATCH(A395,Productos!$A$2:$A$1001,0)),""))</f>
        <v/>
      </c>
      <c r="H395" s="16" t="str">
        <f aca="false">IF(OR(A395="",G395=""),"",F395*G395)</f>
        <v/>
      </c>
    </row>
    <row r="396" customFormat="false" ht="15" hidden="false" customHeight="false" outlineLevel="0" collapsed="false">
      <c r="A396" s="11"/>
      <c r="B396" s="12" t="str">
        <f aca="false">IF(A396="","",IFERROR(INDEX(Productos!$D$2:$D$1001,MATCH(A396,Productos!$A$2:$A$1001,0))&amp;" — "&amp;INDEX(Productos!$E$2:$E$1001,MATCH(A396,Productos!$A$2:$A$1001,0)),"SKU no existe en Productos"))</f>
        <v/>
      </c>
      <c r="C396" s="11"/>
      <c r="D396" s="11"/>
      <c r="E396" s="11"/>
      <c r="F396" s="12" t="str">
        <f aca="false">IF(A396="","",SUM(C396:E396))</f>
        <v/>
      </c>
      <c r="G396" s="16" t="str">
        <f aca="false">IF(A396="","",IFERROR(INDEX(Productos!$K$2:$K$1001,MATCH(A396,Productos!$A$2:$A$1001,0)),""))</f>
        <v/>
      </c>
      <c r="H396" s="16" t="str">
        <f aca="false">IF(OR(A396="",G396=""),"",F396*G396)</f>
        <v/>
      </c>
    </row>
    <row r="397" customFormat="false" ht="15" hidden="false" customHeight="false" outlineLevel="0" collapsed="false">
      <c r="A397" s="11"/>
      <c r="B397" s="12" t="str">
        <f aca="false">IF(A397="","",IFERROR(INDEX(Productos!$D$2:$D$1001,MATCH(A397,Productos!$A$2:$A$1001,0))&amp;" — "&amp;INDEX(Productos!$E$2:$E$1001,MATCH(A397,Productos!$A$2:$A$1001,0)),"SKU no existe en Productos"))</f>
        <v/>
      </c>
      <c r="C397" s="11"/>
      <c r="D397" s="11"/>
      <c r="E397" s="11"/>
      <c r="F397" s="12" t="str">
        <f aca="false">IF(A397="","",SUM(C397:E397))</f>
        <v/>
      </c>
      <c r="G397" s="16" t="str">
        <f aca="false">IF(A397="","",IFERROR(INDEX(Productos!$K$2:$K$1001,MATCH(A397,Productos!$A$2:$A$1001,0)),""))</f>
        <v/>
      </c>
      <c r="H397" s="16" t="str">
        <f aca="false">IF(OR(A397="",G397=""),"",F397*G397)</f>
        <v/>
      </c>
    </row>
    <row r="398" customFormat="false" ht="15" hidden="false" customHeight="false" outlineLevel="0" collapsed="false">
      <c r="A398" s="11"/>
      <c r="B398" s="12" t="str">
        <f aca="false">IF(A398="","",IFERROR(INDEX(Productos!$D$2:$D$1001,MATCH(A398,Productos!$A$2:$A$1001,0))&amp;" — "&amp;INDEX(Productos!$E$2:$E$1001,MATCH(A398,Productos!$A$2:$A$1001,0)),"SKU no existe en Productos"))</f>
        <v/>
      </c>
      <c r="C398" s="11"/>
      <c r="D398" s="11"/>
      <c r="E398" s="11"/>
      <c r="F398" s="12" t="str">
        <f aca="false">IF(A398="","",SUM(C398:E398))</f>
        <v/>
      </c>
      <c r="G398" s="16" t="str">
        <f aca="false">IF(A398="","",IFERROR(INDEX(Productos!$K$2:$K$1001,MATCH(A398,Productos!$A$2:$A$1001,0)),""))</f>
        <v/>
      </c>
      <c r="H398" s="16" t="str">
        <f aca="false">IF(OR(A398="",G398=""),"",F398*G398)</f>
        <v/>
      </c>
    </row>
    <row r="399" customFormat="false" ht="15" hidden="false" customHeight="false" outlineLevel="0" collapsed="false">
      <c r="A399" s="11"/>
      <c r="B399" s="12" t="str">
        <f aca="false">IF(A399="","",IFERROR(INDEX(Productos!$D$2:$D$1001,MATCH(A399,Productos!$A$2:$A$1001,0))&amp;" — "&amp;INDEX(Productos!$E$2:$E$1001,MATCH(A399,Productos!$A$2:$A$1001,0)),"SKU no existe en Productos"))</f>
        <v/>
      </c>
      <c r="C399" s="11"/>
      <c r="D399" s="11"/>
      <c r="E399" s="11"/>
      <c r="F399" s="12" t="str">
        <f aca="false">IF(A399="","",SUM(C399:E399))</f>
        <v/>
      </c>
      <c r="G399" s="16" t="str">
        <f aca="false">IF(A399="","",IFERROR(INDEX(Productos!$K$2:$K$1001,MATCH(A399,Productos!$A$2:$A$1001,0)),""))</f>
        <v/>
      </c>
      <c r="H399" s="16" t="str">
        <f aca="false">IF(OR(A399="",G399=""),"",F399*G399)</f>
        <v/>
      </c>
    </row>
    <row r="400" customFormat="false" ht="15" hidden="false" customHeight="false" outlineLevel="0" collapsed="false">
      <c r="A400" s="11"/>
      <c r="B400" s="12" t="str">
        <f aca="false">IF(A400="","",IFERROR(INDEX(Productos!$D$2:$D$1001,MATCH(A400,Productos!$A$2:$A$1001,0))&amp;" — "&amp;INDEX(Productos!$E$2:$E$1001,MATCH(A400,Productos!$A$2:$A$1001,0)),"SKU no existe en Productos"))</f>
        <v/>
      </c>
      <c r="C400" s="11"/>
      <c r="D400" s="11"/>
      <c r="E400" s="11"/>
      <c r="F400" s="12" t="str">
        <f aca="false">IF(A400="","",SUM(C400:E400))</f>
        <v/>
      </c>
      <c r="G400" s="16" t="str">
        <f aca="false">IF(A400="","",IFERROR(INDEX(Productos!$K$2:$K$1001,MATCH(A400,Productos!$A$2:$A$1001,0)),""))</f>
        <v/>
      </c>
      <c r="H400" s="16" t="str">
        <f aca="false">IF(OR(A400="",G400=""),"",F400*G400)</f>
        <v/>
      </c>
    </row>
    <row r="401" customFormat="false" ht="15" hidden="false" customHeight="false" outlineLevel="0" collapsed="false">
      <c r="A401" s="11"/>
      <c r="B401" s="12" t="str">
        <f aca="false">IF(A401="","",IFERROR(INDEX(Productos!$D$2:$D$1001,MATCH(A401,Productos!$A$2:$A$1001,0))&amp;" — "&amp;INDEX(Productos!$E$2:$E$1001,MATCH(A401,Productos!$A$2:$A$1001,0)),"SKU no existe en Productos"))</f>
        <v/>
      </c>
      <c r="C401" s="11"/>
      <c r="D401" s="11"/>
      <c r="E401" s="11"/>
      <c r="F401" s="12" t="str">
        <f aca="false">IF(A401="","",SUM(C401:E401))</f>
        <v/>
      </c>
      <c r="G401" s="16" t="str">
        <f aca="false">IF(A401="","",IFERROR(INDEX(Productos!$K$2:$K$1001,MATCH(A401,Productos!$A$2:$A$1001,0)),""))</f>
        <v/>
      </c>
      <c r="H401" s="16" t="str">
        <f aca="false">IF(OR(A401="",G401=""),"",F401*G401)</f>
        <v/>
      </c>
    </row>
    <row r="402" customFormat="false" ht="15" hidden="false" customHeight="false" outlineLevel="0" collapsed="false">
      <c r="A402" s="11"/>
      <c r="B402" s="12" t="str">
        <f aca="false">IF(A402="","",IFERROR(INDEX(Productos!$D$2:$D$1001,MATCH(A402,Productos!$A$2:$A$1001,0))&amp;" — "&amp;INDEX(Productos!$E$2:$E$1001,MATCH(A402,Productos!$A$2:$A$1001,0)),"SKU no existe en Productos"))</f>
        <v/>
      </c>
      <c r="C402" s="11"/>
      <c r="D402" s="11"/>
      <c r="E402" s="11"/>
      <c r="F402" s="12" t="str">
        <f aca="false">IF(A402="","",SUM(C402:E402))</f>
        <v/>
      </c>
      <c r="G402" s="16" t="str">
        <f aca="false">IF(A402="","",IFERROR(INDEX(Productos!$K$2:$K$1001,MATCH(A402,Productos!$A$2:$A$1001,0)),""))</f>
        <v/>
      </c>
      <c r="H402" s="16" t="str">
        <f aca="false">IF(OR(A402="",G402=""),"",F402*G402)</f>
        <v/>
      </c>
    </row>
    <row r="403" customFormat="false" ht="15" hidden="false" customHeight="false" outlineLevel="0" collapsed="false">
      <c r="A403" s="11"/>
      <c r="B403" s="12" t="str">
        <f aca="false">IF(A403="","",IFERROR(INDEX(Productos!$D$2:$D$1001,MATCH(A403,Productos!$A$2:$A$1001,0))&amp;" — "&amp;INDEX(Productos!$E$2:$E$1001,MATCH(A403,Productos!$A$2:$A$1001,0)),"SKU no existe en Productos"))</f>
        <v/>
      </c>
      <c r="C403" s="11"/>
      <c r="D403" s="11"/>
      <c r="E403" s="11"/>
      <c r="F403" s="12" t="str">
        <f aca="false">IF(A403="","",SUM(C403:E403))</f>
        <v/>
      </c>
      <c r="G403" s="16" t="str">
        <f aca="false">IF(A403="","",IFERROR(INDEX(Productos!$K$2:$K$1001,MATCH(A403,Productos!$A$2:$A$1001,0)),""))</f>
        <v/>
      </c>
      <c r="H403" s="16" t="str">
        <f aca="false">IF(OR(A403="",G403=""),"",F403*G403)</f>
        <v/>
      </c>
    </row>
    <row r="404" customFormat="false" ht="15" hidden="false" customHeight="false" outlineLevel="0" collapsed="false">
      <c r="A404" s="11"/>
      <c r="B404" s="12" t="str">
        <f aca="false">IF(A404="","",IFERROR(INDEX(Productos!$D$2:$D$1001,MATCH(A404,Productos!$A$2:$A$1001,0))&amp;" — "&amp;INDEX(Productos!$E$2:$E$1001,MATCH(A404,Productos!$A$2:$A$1001,0)),"SKU no existe en Productos"))</f>
        <v/>
      </c>
      <c r="C404" s="11"/>
      <c r="D404" s="11"/>
      <c r="E404" s="11"/>
      <c r="F404" s="12" t="str">
        <f aca="false">IF(A404="","",SUM(C404:E404))</f>
        <v/>
      </c>
      <c r="G404" s="16" t="str">
        <f aca="false">IF(A404="","",IFERROR(INDEX(Productos!$K$2:$K$1001,MATCH(A404,Productos!$A$2:$A$1001,0)),""))</f>
        <v/>
      </c>
      <c r="H404" s="16" t="str">
        <f aca="false">IF(OR(A404="",G404=""),"",F404*G404)</f>
        <v/>
      </c>
    </row>
    <row r="405" customFormat="false" ht="15" hidden="false" customHeight="false" outlineLevel="0" collapsed="false">
      <c r="A405" s="11"/>
      <c r="B405" s="12" t="str">
        <f aca="false">IF(A405="","",IFERROR(INDEX(Productos!$D$2:$D$1001,MATCH(A405,Productos!$A$2:$A$1001,0))&amp;" — "&amp;INDEX(Productos!$E$2:$E$1001,MATCH(A405,Productos!$A$2:$A$1001,0)),"SKU no existe en Productos"))</f>
        <v/>
      </c>
      <c r="C405" s="11"/>
      <c r="D405" s="11"/>
      <c r="E405" s="11"/>
      <c r="F405" s="12" t="str">
        <f aca="false">IF(A405="","",SUM(C405:E405))</f>
        <v/>
      </c>
      <c r="G405" s="16" t="str">
        <f aca="false">IF(A405="","",IFERROR(INDEX(Productos!$K$2:$K$1001,MATCH(A405,Productos!$A$2:$A$1001,0)),""))</f>
        <v/>
      </c>
      <c r="H405" s="16" t="str">
        <f aca="false">IF(OR(A405="",G405=""),"",F405*G405)</f>
        <v/>
      </c>
    </row>
    <row r="406" customFormat="false" ht="15" hidden="false" customHeight="false" outlineLevel="0" collapsed="false">
      <c r="A406" s="11"/>
      <c r="B406" s="12" t="str">
        <f aca="false">IF(A406="","",IFERROR(INDEX(Productos!$D$2:$D$1001,MATCH(A406,Productos!$A$2:$A$1001,0))&amp;" — "&amp;INDEX(Productos!$E$2:$E$1001,MATCH(A406,Productos!$A$2:$A$1001,0)),"SKU no existe en Productos"))</f>
        <v/>
      </c>
      <c r="C406" s="11"/>
      <c r="D406" s="11"/>
      <c r="E406" s="11"/>
      <c r="F406" s="12" t="str">
        <f aca="false">IF(A406="","",SUM(C406:E406))</f>
        <v/>
      </c>
      <c r="G406" s="16" t="str">
        <f aca="false">IF(A406="","",IFERROR(INDEX(Productos!$K$2:$K$1001,MATCH(A406,Productos!$A$2:$A$1001,0)),""))</f>
        <v/>
      </c>
      <c r="H406" s="16" t="str">
        <f aca="false">IF(OR(A406="",G406=""),"",F406*G406)</f>
        <v/>
      </c>
    </row>
    <row r="407" customFormat="false" ht="15" hidden="false" customHeight="false" outlineLevel="0" collapsed="false">
      <c r="A407" s="11"/>
      <c r="B407" s="12" t="str">
        <f aca="false">IF(A407="","",IFERROR(INDEX(Productos!$D$2:$D$1001,MATCH(A407,Productos!$A$2:$A$1001,0))&amp;" — "&amp;INDEX(Productos!$E$2:$E$1001,MATCH(A407,Productos!$A$2:$A$1001,0)),"SKU no existe en Productos"))</f>
        <v/>
      </c>
      <c r="C407" s="11"/>
      <c r="D407" s="11"/>
      <c r="E407" s="11"/>
      <c r="F407" s="12" t="str">
        <f aca="false">IF(A407="","",SUM(C407:E407))</f>
        <v/>
      </c>
      <c r="G407" s="16" t="str">
        <f aca="false">IF(A407="","",IFERROR(INDEX(Productos!$K$2:$K$1001,MATCH(A407,Productos!$A$2:$A$1001,0)),""))</f>
        <v/>
      </c>
      <c r="H407" s="16" t="str">
        <f aca="false">IF(OR(A407="",G407=""),"",F407*G407)</f>
        <v/>
      </c>
    </row>
    <row r="408" customFormat="false" ht="15" hidden="false" customHeight="false" outlineLevel="0" collapsed="false">
      <c r="A408" s="11"/>
      <c r="B408" s="12" t="str">
        <f aca="false">IF(A408="","",IFERROR(INDEX(Productos!$D$2:$D$1001,MATCH(A408,Productos!$A$2:$A$1001,0))&amp;" — "&amp;INDEX(Productos!$E$2:$E$1001,MATCH(A408,Productos!$A$2:$A$1001,0)),"SKU no existe en Productos"))</f>
        <v/>
      </c>
      <c r="C408" s="11"/>
      <c r="D408" s="11"/>
      <c r="E408" s="11"/>
      <c r="F408" s="12" t="str">
        <f aca="false">IF(A408="","",SUM(C408:E408))</f>
        <v/>
      </c>
      <c r="G408" s="16" t="str">
        <f aca="false">IF(A408="","",IFERROR(INDEX(Productos!$K$2:$K$1001,MATCH(A408,Productos!$A$2:$A$1001,0)),""))</f>
        <v/>
      </c>
      <c r="H408" s="16" t="str">
        <f aca="false">IF(OR(A408="",G408=""),"",F408*G408)</f>
        <v/>
      </c>
    </row>
    <row r="409" customFormat="false" ht="15" hidden="false" customHeight="false" outlineLevel="0" collapsed="false">
      <c r="A409" s="11"/>
      <c r="B409" s="12" t="str">
        <f aca="false">IF(A409="","",IFERROR(INDEX(Productos!$D$2:$D$1001,MATCH(A409,Productos!$A$2:$A$1001,0))&amp;" — "&amp;INDEX(Productos!$E$2:$E$1001,MATCH(A409,Productos!$A$2:$A$1001,0)),"SKU no existe en Productos"))</f>
        <v/>
      </c>
      <c r="C409" s="11"/>
      <c r="D409" s="11"/>
      <c r="E409" s="11"/>
      <c r="F409" s="12" t="str">
        <f aca="false">IF(A409="","",SUM(C409:E409))</f>
        <v/>
      </c>
      <c r="G409" s="16" t="str">
        <f aca="false">IF(A409="","",IFERROR(INDEX(Productos!$K$2:$K$1001,MATCH(A409,Productos!$A$2:$A$1001,0)),""))</f>
        <v/>
      </c>
      <c r="H409" s="16" t="str">
        <f aca="false">IF(OR(A409="",G409=""),"",F409*G409)</f>
        <v/>
      </c>
    </row>
    <row r="410" customFormat="false" ht="15" hidden="false" customHeight="false" outlineLevel="0" collapsed="false">
      <c r="A410" s="11"/>
      <c r="B410" s="12" t="str">
        <f aca="false">IF(A410="","",IFERROR(INDEX(Productos!$D$2:$D$1001,MATCH(A410,Productos!$A$2:$A$1001,0))&amp;" — "&amp;INDEX(Productos!$E$2:$E$1001,MATCH(A410,Productos!$A$2:$A$1001,0)),"SKU no existe en Productos"))</f>
        <v/>
      </c>
      <c r="C410" s="11"/>
      <c r="D410" s="11"/>
      <c r="E410" s="11"/>
      <c r="F410" s="12" t="str">
        <f aca="false">IF(A410="","",SUM(C410:E410))</f>
        <v/>
      </c>
      <c r="G410" s="16" t="str">
        <f aca="false">IF(A410="","",IFERROR(INDEX(Productos!$K$2:$K$1001,MATCH(A410,Productos!$A$2:$A$1001,0)),""))</f>
        <v/>
      </c>
      <c r="H410" s="16" t="str">
        <f aca="false">IF(OR(A410="",G410=""),"",F410*G410)</f>
        <v/>
      </c>
    </row>
    <row r="411" customFormat="false" ht="15" hidden="false" customHeight="false" outlineLevel="0" collapsed="false">
      <c r="A411" s="11"/>
      <c r="B411" s="12" t="str">
        <f aca="false">IF(A411="","",IFERROR(INDEX(Productos!$D$2:$D$1001,MATCH(A411,Productos!$A$2:$A$1001,0))&amp;" — "&amp;INDEX(Productos!$E$2:$E$1001,MATCH(A411,Productos!$A$2:$A$1001,0)),"SKU no existe en Productos"))</f>
        <v/>
      </c>
      <c r="C411" s="11"/>
      <c r="D411" s="11"/>
      <c r="E411" s="11"/>
      <c r="F411" s="12" t="str">
        <f aca="false">IF(A411="","",SUM(C411:E411))</f>
        <v/>
      </c>
      <c r="G411" s="16" t="str">
        <f aca="false">IF(A411="","",IFERROR(INDEX(Productos!$K$2:$K$1001,MATCH(A411,Productos!$A$2:$A$1001,0)),""))</f>
        <v/>
      </c>
      <c r="H411" s="16" t="str">
        <f aca="false">IF(OR(A411="",G411=""),"",F411*G411)</f>
        <v/>
      </c>
    </row>
    <row r="412" customFormat="false" ht="15" hidden="false" customHeight="false" outlineLevel="0" collapsed="false">
      <c r="A412" s="11"/>
      <c r="B412" s="12" t="str">
        <f aca="false">IF(A412="","",IFERROR(INDEX(Productos!$D$2:$D$1001,MATCH(A412,Productos!$A$2:$A$1001,0))&amp;" — "&amp;INDEX(Productos!$E$2:$E$1001,MATCH(A412,Productos!$A$2:$A$1001,0)),"SKU no existe en Productos"))</f>
        <v/>
      </c>
      <c r="C412" s="11"/>
      <c r="D412" s="11"/>
      <c r="E412" s="11"/>
      <c r="F412" s="12" t="str">
        <f aca="false">IF(A412="","",SUM(C412:E412))</f>
        <v/>
      </c>
      <c r="G412" s="16" t="str">
        <f aca="false">IF(A412="","",IFERROR(INDEX(Productos!$K$2:$K$1001,MATCH(A412,Productos!$A$2:$A$1001,0)),""))</f>
        <v/>
      </c>
      <c r="H412" s="16" t="str">
        <f aca="false">IF(OR(A412="",G412=""),"",F412*G412)</f>
        <v/>
      </c>
    </row>
    <row r="413" customFormat="false" ht="15" hidden="false" customHeight="false" outlineLevel="0" collapsed="false">
      <c r="A413" s="11"/>
      <c r="B413" s="12" t="str">
        <f aca="false">IF(A413="","",IFERROR(INDEX(Productos!$D$2:$D$1001,MATCH(A413,Productos!$A$2:$A$1001,0))&amp;" — "&amp;INDEX(Productos!$E$2:$E$1001,MATCH(A413,Productos!$A$2:$A$1001,0)),"SKU no existe en Productos"))</f>
        <v/>
      </c>
      <c r="C413" s="11"/>
      <c r="D413" s="11"/>
      <c r="E413" s="11"/>
      <c r="F413" s="12" t="str">
        <f aca="false">IF(A413="","",SUM(C413:E413))</f>
        <v/>
      </c>
      <c r="G413" s="16" t="str">
        <f aca="false">IF(A413="","",IFERROR(INDEX(Productos!$K$2:$K$1001,MATCH(A413,Productos!$A$2:$A$1001,0)),""))</f>
        <v/>
      </c>
      <c r="H413" s="16" t="str">
        <f aca="false">IF(OR(A413="",G413=""),"",F413*G413)</f>
        <v/>
      </c>
    </row>
    <row r="414" customFormat="false" ht="15" hidden="false" customHeight="false" outlineLevel="0" collapsed="false">
      <c r="A414" s="11"/>
      <c r="B414" s="12" t="str">
        <f aca="false">IF(A414="","",IFERROR(INDEX(Productos!$D$2:$D$1001,MATCH(A414,Productos!$A$2:$A$1001,0))&amp;" — "&amp;INDEX(Productos!$E$2:$E$1001,MATCH(A414,Productos!$A$2:$A$1001,0)),"SKU no existe en Productos"))</f>
        <v/>
      </c>
      <c r="C414" s="11"/>
      <c r="D414" s="11"/>
      <c r="E414" s="11"/>
      <c r="F414" s="12" t="str">
        <f aca="false">IF(A414="","",SUM(C414:E414))</f>
        <v/>
      </c>
      <c r="G414" s="16" t="str">
        <f aca="false">IF(A414="","",IFERROR(INDEX(Productos!$K$2:$K$1001,MATCH(A414,Productos!$A$2:$A$1001,0)),""))</f>
        <v/>
      </c>
      <c r="H414" s="16" t="str">
        <f aca="false">IF(OR(A414="",G414=""),"",F414*G414)</f>
        <v/>
      </c>
    </row>
    <row r="415" customFormat="false" ht="15" hidden="false" customHeight="false" outlineLevel="0" collapsed="false">
      <c r="A415" s="11"/>
      <c r="B415" s="12" t="str">
        <f aca="false">IF(A415="","",IFERROR(INDEX(Productos!$D$2:$D$1001,MATCH(A415,Productos!$A$2:$A$1001,0))&amp;" — "&amp;INDEX(Productos!$E$2:$E$1001,MATCH(A415,Productos!$A$2:$A$1001,0)),"SKU no existe en Productos"))</f>
        <v/>
      </c>
      <c r="C415" s="11"/>
      <c r="D415" s="11"/>
      <c r="E415" s="11"/>
      <c r="F415" s="12" t="str">
        <f aca="false">IF(A415="","",SUM(C415:E415))</f>
        <v/>
      </c>
      <c r="G415" s="16" t="str">
        <f aca="false">IF(A415="","",IFERROR(INDEX(Productos!$K$2:$K$1001,MATCH(A415,Productos!$A$2:$A$1001,0)),""))</f>
        <v/>
      </c>
      <c r="H415" s="16" t="str">
        <f aca="false">IF(OR(A415="",G415=""),"",F415*G415)</f>
        <v/>
      </c>
    </row>
    <row r="416" customFormat="false" ht="15" hidden="false" customHeight="false" outlineLevel="0" collapsed="false">
      <c r="A416" s="11"/>
      <c r="B416" s="12" t="str">
        <f aca="false">IF(A416="","",IFERROR(INDEX(Productos!$D$2:$D$1001,MATCH(A416,Productos!$A$2:$A$1001,0))&amp;" — "&amp;INDEX(Productos!$E$2:$E$1001,MATCH(A416,Productos!$A$2:$A$1001,0)),"SKU no existe en Productos"))</f>
        <v/>
      </c>
      <c r="C416" s="11"/>
      <c r="D416" s="11"/>
      <c r="E416" s="11"/>
      <c r="F416" s="12" t="str">
        <f aca="false">IF(A416="","",SUM(C416:E416))</f>
        <v/>
      </c>
      <c r="G416" s="16" t="str">
        <f aca="false">IF(A416="","",IFERROR(INDEX(Productos!$K$2:$K$1001,MATCH(A416,Productos!$A$2:$A$1001,0)),""))</f>
        <v/>
      </c>
      <c r="H416" s="16" t="str">
        <f aca="false">IF(OR(A416="",G416=""),"",F416*G416)</f>
        <v/>
      </c>
    </row>
    <row r="417" customFormat="false" ht="15" hidden="false" customHeight="false" outlineLevel="0" collapsed="false">
      <c r="A417" s="11"/>
      <c r="B417" s="12" t="str">
        <f aca="false">IF(A417="","",IFERROR(INDEX(Productos!$D$2:$D$1001,MATCH(A417,Productos!$A$2:$A$1001,0))&amp;" — "&amp;INDEX(Productos!$E$2:$E$1001,MATCH(A417,Productos!$A$2:$A$1001,0)),"SKU no existe en Productos"))</f>
        <v/>
      </c>
      <c r="C417" s="11"/>
      <c r="D417" s="11"/>
      <c r="E417" s="11"/>
      <c r="F417" s="12" t="str">
        <f aca="false">IF(A417="","",SUM(C417:E417))</f>
        <v/>
      </c>
      <c r="G417" s="16" t="str">
        <f aca="false">IF(A417="","",IFERROR(INDEX(Productos!$K$2:$K$1001,MATCH(A417,Productos!$A$2:$A$1001,0)),""))</f>
        <v/>
      </c>
      <c r="H417" s="16" t="str">
        <f aca="false">IF(OR(A417="",G417=""),"",F417*G417)</f>
        <v/>
      </c>
    </row>
    <row r="418" customFormat="false" ht="15" hidden="false" customHeight="false" outlineLevel="0" collapsed="false">
      <c r="A418" s="11"/>
      <c r="B418" s="12" t="str">
        <f aca="false">IF(A418="","",IFERROR(INDEX(Productos!$D$2:$D$1001,MATCH(A418,Productos!$A$2:$A$1001,0))&amp;" — "&amp;INDEX(Productos!$E$2:$E$1001,MATCH(A418,Productos!$A$2:$A$1001,0)),"SKU no existe en Productos"))</f>
        <v/>
      </c>
      <c r="C418" s="11"/>
      <c r="D418" s="11"/>
      <c r="E418" s="11"/>
      <c r="F418" s="12" t="str">
        <f aca="false">IF(A418="","",SUM(C418:E418))</f>
        <v/>
      </c>
      <c r="G418" s="16" t="str">
        <f aca="false">IF(A418="","",IFERROR(INDEX(Productos!$K$2:$K$1001,MATCH(A418,Productos!$A$2:$A$1001,0)),""))</f>
        <v/>
      </c>
      <c r="H418" s="16" t="str">
        <f aca="false">IF(OR(A418="",G418=""),"",F418*G418)</f>
        <v/>
      </c>
    </row>
    <row r="419" customFormat="false" ht="15" hidden="false" customHeight="false" outlineLevel="0" collapsed="false">
      <c r="A419" s="11"/>
      <c r="B419" s="12" t="str">
        <f aca="false">IF(A419="","",IFERROR(INDEX(Productos!$D$2:$D$1001,MATCH(A419,Productos!$A$2:$A$1001,0))&amp;" — "&amp;INDEX(Productos!$E$2:$E$1001,MATCH(A419,Productos!$A$2:$A$1001,0)),"SKU no existe en Productos"))</f>
        <v/>
      </c>
      <c r="C419" s="11"/>
      <c r="D419" s="11"/>
      <c r="E419" s="11"/>
      <c r="F419" s="12" t="str">
        <f aca="false">IF(A419="","",SUM(C419:E419))</f>
        <v/>
      </c>
      <c r="G419" s="16" t="str">
        <f aca="false">IF(A419="","",IFERROR(INDEX(Productos!$K$2:$K$1001,MATCH(A419,Productos!$A$2:$A$1001,0)),""))</f>
        <v/>
      </c>
      <c r="H419" s="16" t="str">
        <f aca="false">IF(OR(A419="",G419=""),"",F419*G419)</f>
        <v/>
      </c>
    </row>
    <row r="420" customFormat="false" ht="15" hidden="false" customHeight="false" outlineLevel="0" collapsed="false">
      <c r="A420" s="11"/>
      <c r="B420" s="12" t="str">
        <f aca="false">IF(A420="","",IFERROR(INDEX(Productos!$D$2:$D$1001,MATCH(A420,Productos!$A$2:$A$1001,0))&amp;" — "&amp;INDEX(Productos!$E$2:$E$1001,MATCH(A420,Productos!$A$2:$A$1001,0)),"SKU no existe en Productos"))</f>
        <v/>
      </c>
      <c r="C420" s="11"/>
      <c r="D420" s="11"/>
      <c r="E420" s="11"/>
      <c r="F420" s="12" t="str">
        <f aca="false">IF(A420="","",SUM(C420:E420))</f>
        <v/>
      </c>
      <c r="G420" s="16" t="str">
        <f aca="false">IF(A420="","",IFERROR(INDEX(Productos!$K$2:$K$1001,MATCH(A420,Productos!$A$2:$A$1001,0)),""))</f>
        <v/>
      </c>
      <c r="H420" s="16" t="str">
        <f aca="false">IF(OR(A420="",G420=""),"",F420*G420)</f>
        <v/>
      </c>
    </row>
    <row r="421" customFormat="false" ht="15" hidden="false" customHeight="false" outlineLevel="0" collapsed="false">
      <c r="A421" s="11"/>
      <c r="B421" s="12" t="str">
        <f aca="false">IF(A421="","",IFERROR(INDEX(Productos!$D$2:$D$1001,MATCH(A421,Productos!$A$2:$A$1001,0))&amp;" — "&amp;INDEX(Productos!$E$2:$E$1001,MATCH(A421,Productos!$A$2:$A$1001,0)),"SKU no existe en Productos"))</f>
        <v/>
      </c>
      <c r="C421" s="11"/>
      <c r="D421" s="11"/>
      <c r="E421" s="11"/>
      <c r="F421" s="12" t="str">
        <f aca="false">IF(A421="","",SUM(C421:E421))</f>
        <v/>
      </c>
      <c r="G421" s="16" t="str">
        <f aca="false">IF(A421="","",IFERROR(INDEX(Productos!$K$2:$K$1001,MATCH(A421,Productos!$A$2:$A$1001,0)),""))</f>
        <v/>
      </c>
      <c r="H421" s="16" t="str">
        <f aca="false">IF(OR(A421="",G421=""),"",F421*G421)</f>
        <v/>
      </c>
    </row>
    <row r="422" customFormat="false" ht="15" hidden="false" customHeight="false" outlineLevel="0" collapsed="false">
      <c r="A422" s="11"/>
      <c r="B422" s="12" t="str">
        <f aca="false">IF(A422="","",IFERROR(INDEX(Productos!$D$2:$D$1001,MATCH(A422,Productos!$A$2:$A$1001,0))&amp;" — "&amp;INDEX(Productos!$E$2:$E$1001,MATCH(A422,Productos!$A$2:$A$1001,0)),"SKU no existe en Productos"))</f>
        <v/>
      </c>
      <c r="C422" s="11"/>
      <c r="D422" s="11"/>
      <c r="E422" s="11"/>
      <c r="F422" s="12" t="str">
        <f aca="false">IF(A422="","",SUM(C422:E422))</f>
        <v/>
      </c>
      <c r="G422" s="16" t="str">
        <f aca="false">IF(A422="","",IFERROR(INDEX(Productos!$K$2:$K$1001,MATCH(A422,Productos!$A$2:$A$1001,0)),""))</f>
        <v/>
      </c>
      <c r="H422" s="16" t="str">
        <f aca="false">IF(OR(A422="",G422=""),"",F422*G422)</f>
        <v/>
      </c>
    </row>
    <row r="423" customFormat="false" ht="15" hidden="false" customHeight="false" outlineLevel="0" collapsed="false">
      <c r="A423" s="11"/>
      <c r="B423" s="12" t="str">
        <f aca="false">IF(A423="","",IFERROR(INDEX(Productos!$D$2:$D$1001,MATCH(A423,Productos!$A$2:$A$1001,0))&amp;" — "&amp;INDEX(Productos!$E$2:$E$1001,MATCH(A423,Productos!$A$2:$A$1001,0)),"SKU no existe en Productos"))</f>
        <v/>
      </c>
      <c r="C423" s="11"/>
      <c r="D423" s="11"/>
      <c r="E423" s="11"/>
      <c r="F423" s="12" t="str">
        <f aca="false">IF(A423="","",SUM(C423:E423))</f>
        <v/>
      </c>
      <c r="G423" s="16" t="str">
        <f aca="false">IF(A423="","",IFERROR(INDEX(Productos!$K$2:$K$1001,MATCH(A423,Productos!$A$2:$A$1001,0)),""))</f>
        <v/>
      </c>
      <c r="H423" s="16" t="str">
        <f aca="false">IF(OR(A423="",G423=""),"",F423*G423)</f>
        <v/>
      </c>
    </row>
    <row r="424" customFormat="false" ht="15" hidden="false" customHeight="false" outlineLevel="0" collapsed="false">
      <c r="A424" s="11"/>
      <c r="B424" s="12" t="str">
        <f aca="false">IF(A424="","",IFERROR(INDEX(Productos!$D$2:$D$1001,MATCH(A424,Productos!$A$2:$A$1001,0))&amp;" — "&amp;INDEX(Productos!$E$2:$E$1001,MATCH(A424,Productos!$A$2:$A$1001,0)),"SKU no existe en Productos"))</f>
        <v/>
      </c>
      <c r="C424" s="11"/>
      <c r="D424" s="11"/>
      <c r="E424" s="11"/>
      <c r="F424" s="12" t="str">
        <f aca="false">IF(A424="","",SUM(C424:E424))</f>
        <v/>
      </c>
      <c r="G424" s="16" t="str">
        <f aca="false">IF(A424="","",IFERROR(INDEX(Productos!$K$2:$K$1001,MATCH(A424,Productos!$A$2:$A$1001,0)),""))</f>
        <v/>
      </c>
      <c r="H424" s="16" t="str">
        <f aca="false">IF(OR(A424="",G424=""),"",F424*G424)</f>
        <v/>
      </c>
    </row>
    <row r="425" customFormat="false" ht="15" hidden="false" customHeight="false" outlineLevel="0" collapsed="false">
      <c r="A425" s="11"/>
      <c r="B425" s="12" t="str">
        <f aca="false">IF(A425="","",IFERROR(INDEX(Productos!$D$2:$D$1001,MATCH(A425,Productos!$A$2:$A$1001,0))&amp;" — "&amp;INDEX(Productos!$E$2:$E$1001,MATCH(A425,Productos!$A$2:$A$1001,0)),"SKU no existe en Productos"))</f>
        <v/>
      </c>
      <c r="C425" s="11"/>
      <c r="D425" s="11"/>
      <c r="E425" s="11"/>
      <c r="F425" s="12" t="str">
        <f aca="false">IF(A425="","",SUM(C425:E425))</f>
        <v/>
      </c>
      <c r="G425" s="16" t="str">
        <f aca="false">IF(A425="","",IFERROR(INDEX(Productos!$K$2:$K$1001,MATCH(A425,Productos!$A$2:$A$1001,0)),""))</f>
        <v/>
      </c>
      <c r="H425" s="16" t="str">
        <f aca="false">IF(OR(A425="",G425=""),"",F425*G425)</f>
        <v/>
      </c>
    </row>
    <row r="426" customFormat="false" ht="15" hidden="false" customHeight="false" outlineLevel="0" collapsed="false">
      <c r="A426" s="11"/>
      <c r="B426" s="12" t="str">
        <f aca="false">IF(A426="","",IFERROR(INDEX(Productos!$D$2:$D$1001,MATCH(A426,Productos!$A$2:$A$1001,0))&amp;" — "&amp;INDEX(Productos!$E$2:$E$1001,MATCH(A426,Productos!$A$2:$A$1001,0)),"SKU no existe en Productos"))</f>
        <v/>
      </c>
      <c r="C426" s="11"/>
      <c r="D426" s="11"/>
      <c r="E426" s="11"/>
      <c r="F426" s="12" t="str">
        <f aca="false">IF(A426="","",SUM(C426:E426))</f>
        <v/>
      </c>
      <c r="G426" s="16" t="str">
        <f aca="false">IF(A426="","",IFERROR(INDEX(Productos!$K$2:$K$1001,MATCH(A426,Productos!$A$2:$A$1001,0)),""))</f>
        <v/>
      </c>
      <c r="H426" s="16" t="str">
        <f aca="false">IF(OR(A426="",G426=""),"",F426*G426)</f>
        <v/>
      </c>
    </row>
    <row r="427" customFormat="false" ht="15" hidden="false" customHeight="false" outlineLevel="0" collapsed="false">
      <c r="A427" s="11"/>
      <c r="B427" s="12" t="str">
        <f aca="false">IF(A427="","",IFERROR(INDEX(Productos!$D$2:$D$1001,MATCH(A427,Productos!$A$2:$A$1001,0))&amp;" — "&amp;INDEX(Productos!$E$2:$E$1001,MATCH(A427,Productos!$A$2:$A$1001,0)),"SKU no existe en Productos"))</f>
        <v/>
      </c>
      <c r="C427" s="11"/>
      <c r="D427" s="11"/>
      <c r="E427" s="11"/>
      <c r="F427" s="12" t="str">
        <f aca="false">IF(A427="","",SUM(C427:E427))</f>
        <v/>
      </c>
      <c r="G427" s="16" t="str">
        <f aca="false">IF(A427="","",IFERROR(INDEX(Productos!$K$2:$K$1001,MATCH(A427,Productos!$A$2:$A$1001,0)),""))</f>
        <v/>
      </c>
      <c r="H427" s="16" t="str">
        <f aca="false">IF(OR(A427="",G427=""),"",F427*G427)</f>
        <v/>
      </c>
    </row>
    <row r="428" customFormat="false" ht="15" hidden="false" customHeight="false" outlineLevel="0" collapsed="false">
      <c r="A428" s="11"/>
      <c r="B428" s="12" t="str">
        <f aca="false">IF(A428="","",IFERROR(INDEX(Productos!$D$2:$D$1001,MATCH(A428,Productos!$A$2:$A$1001,0))&amp;" — "&amp;INDEX(Productos!$E$2:$E$1001,MATCH(A428,Productos!$A$2:$A$1001,0)),"SKU no existe en Productos"))</f>
        <v/>
      </c>
      <c r="C428" s="11"/>
      <c r="D428" s="11"/>
      <c r="E428" s="11"/>
      <c r="F428" s="12" t="str">
        <f aca="false">IF(A428="","",SUM(C428:E428))</f>
        <v/>
      </c>
      <c r="G428" s="16" t="str">
        <f aca="false">IF(A428="","",IFERROR(INDEX(Productos!$K$2:$K$1001,MATCH(A428,Productos!$A$2:$A$1001,0)),""))</f>
        <v/>
      </c>
      <c r="H428" s="16" t="str">
        <f aca="false">IF(OR(A428="",G428=""),"",F428*G428)</f>
        <v/>
      </c>
    </row>
    <row r="429" customFormat="false" ht="15" hidden="false" customHeight="false" outlineLevel="0" collapsed="false">
      <c r="A429" s="11"/>
      <c r="B429" s="12" t="str">
        <f aca="false">IF(A429="","",IFERROR(INDEX(Productos!$D$2:$D$1001,MATCH(A429,Productos!$A$2:$A$1001,0))&amp;" — "&amp;INDEX(Productos!$E$2:$E$1001,MATCH(A429,Productos!$A$2:$A$1001,0)),"SKU no existe en Productos"))</f>
        <v/>
      </c>
      <c r="C429" s="11"/>
      <c r="D429" s="11"/>
      <c r="E429" s="11"/>
      <c r="F429" s="12" t="str">
        <f aca="false">IF(A429="","",SUM(C429:E429))</f>
        <v/>
      </c>
      <c r="G429" s="16" t="str">
        <f aca="false">IF(A429="","",IFERROR(INDEX(Productos!$K$2:$K$1001,MATCH(A429,Productos!$A$2:$A$1001,0)),""))</f>
        <v/>
      </c>
      <c r="H429" s="16" t="str">
        <f aca="false">IF(OR(A429="",G429=""),"",F429*G429)</f>
        <v/>
      </c>
    </row>
    <row r="430" customFormat="false" ht="15" hidden="false" customHeight="false" outlineLevel="0" collapsed="false">
      <c r="A430" s="11"/>
      <c r="B430" s="12" t="str">
        <f aca="false">IF(A430="","",IFERROR(INDEX(Productos!$D$2:$D$1001,MATCH(A430,Productos!$A$2:$A$1001,0))&amp;" — "&amp;INDEX(Productos!$E$2:$E$1001,MATCH(A430,Productos!$A$2:$A$1001,0)),"SKU no existe en Productos"))</f>
        <v/>
      </c>
      <c r="C430" s="11"/>
      <c r="D430" s="11"/>
      <c r="E430" s="11"/>
      <c r="F430" s="12" t="str">
        <f aca="false">IF(A430="","",SUM(C430:E430))</f>
        <v/>
      </c>
      <c r="G430" s="16" t="str">
        <f aca="false">IF(A430="","",IFERROR(INDEX(Productos!$K$2:$K$1001,MATCH(A430,Productos!$A$2:$A$1001,0)),""))</f>
        <v/>
      </c>
      <c r="H430" s="16" t="str">
        <f aca="false">IF(OR(A430="",G430=""),"",F430*G430)</f>
        <v/>
      </c>
    </row>
    <row r="431" customFormat="false" ht="15" hidden="false" customHeight="false" outlineLevel="0" collapsed="false">
      <c r="A431" s="11"/>
      <c r="B431" s="12" t="str">
        <f aca="false">IF(A431="","",IFERROR(INDEX(Productos!$D$2:$D$1001,MATCH(A431,Productos!$A$2:$A$1001,0))&amp;" — "&amp;INDEX(Productos!$E$2:$E$1001,MATCH(A431,Productos!$A$2:$A$1001,0)),"SKU no existe en Productos"))</f>
        <v/>
      </c>
      <c r="C431" s="11"/>
      <c r="D431" s="11"/>
      <c r="E431" s="11"/>
      <c r="F431" s="12" t="str">
        <f aca="false">IF(A431="","",SUM(C431:E431))</f>
        <v/>
      </c>
      <c r="G431" s="16" t="str">
        <f aca="false">IF(A431="","",IFERROR(INDEX(Productos!$K$2:$K$1001,MATCH(A431,Productos!$A$2:$A$1001,0)),""))</f>
        <v/>
      </c>
      <c r="H431" s="16" t="str">
        <f aca="false">IF(OR(A431="",G431=""),"",F431*G431)</f>
        <v/>
      </c>
    </row>
    <row r="432" customFormat="false" ht="15" hidden="false" customHeight="false" outlineLevel="0" collapsed="false">
      <c r="A432" s="11"/>
      <c r="B432" s="12" t="str">
        <f aca="false">IF(A432="","",IFERROR(INDEX(Productos!$D$2:$D$1001,MATCH(A432,Productos!$A$2:$A$1001,0))&amp;" — "&amp;INDEX(Productos!$E$2:$E$1001,MATCH(A432,Productos!$A$2:$A$1001,0)),"SKU no existe en Productos"))</f>
        <v/>
      </c>
      <c r="C432" s="11"/>
      <c r="D432" s="11"/>
      <c r="E432" s="11"/>
      <c r="F432" s="12" t="str">
        <f aca="false">IF(A432="","",SUM(C432:E432))</f>
        <v/>
      </c>
      <c r="G432" s="16" t="str">
        <f aca="false">IF(A432="","",IFERROR(INDEX(Productos!$K$2:$K$1001,MATCH(A432,Productos!$A$2:$A$1001,0)),""))</f>
        <v/>
      </c>
      <c r="H432" s="16" t="str">
        <f aca="false">IF(OR(A432="",G432=""),"",F432*G432)</f>
        <v/>
      </c>
    </row>
    <row r="433" customFormat="false" ht="15" hidden="false" customHeight="false" outlineLevel="0" collapsed="false">
      <c r="A433" s="11"/>
      <c r="B433" s="12" t="str">
        <f aca="false">IF(A433="","",IFERROR(INDEX(Productos!$D$2:$D$1001,MATCH(A433,Productos!$A$2:$A$1001,0))&amp;" — "&amp;INDEX(Productos!$E$2:$E$1001,MATCH(A433,Productos!$A$2:$A$1001,0)),"SKU no existe en Productos"))</f>
        <v/>
      </c>
      <c r="C433" s="11"/>
      <c r="D433" s="11"/>
      <c r="E433" s="11"/>
      <c r="F433" s="12" t="str">
        <f aca="false">IF(A433="","",SUM(C433:E433))</f>
        <v/>
      </c>
      <c r="G433" s="16" t="str">
        <f aca="false">IF(A433="","",IFERROR(INDEX(Productos!$K$2:$K$1001,MATCH(A433,Productos!$A$2:$A$1001,0)),""))</f>
        <v/>
      </c>
      <c r="H433" s="16" t="str">
        <f aca="false">IF(OR(A433="",G433=""),"",F433*G433)</f>
        <v/>
      </c>
    </row>
    <row r="434" customFormat="false" ht="15" hidden="false" customHeight="false" outlineLevel="0" collapsed="false">
      <c r="A434" s="11"/>
      <c r="B434" s="12" t="str">
        <f aca="false">IF(A434="","",IFERROR(INDEX(Productos!$D$2:$D$1001,MATCH(A434,Productos!$A$2:$A$1001,0))&amp;" — "&amp;INDEX(Productos!$E$2:$E$1001,MATCH(A434,Productos!$A$2:$A$1001,0)),"SKU no existe en Productos"))</f>
        <v/>
      </c>
      <c r="C434" s="11"/>
      <c r="D434" s="11"/>
      <c r="E434" s="11"/>
      <c r="F434" s="12" t="str">
        <f aca="false">IF(A434="","",SUM(C434:E434))</f>
        <v/>
      </c>
      <c r="G434" s="16" t="str">
        <f aca="false">IF(A434="","",IFERROR(INDEX(Productos!$K$2:$K$1001,MATCH(A434,Productos!$A$2:$A$1001,0)),""))</f>
        <v/>
      </c>
      <c r="H434" s="16" t="str">
        <f aca="false">IF(OR(A434="",G434=""),"",F434*G434)</f>
        <v/>
      </c>
    </row>
    <row r="435" customFormat="false" ht="15" hidden="false" customHeight="false" outlineLevel="0" collapsed="false">
      <c r="A435" s="11"/>
      <c r="B435" s="12" t="str">
        <f aca="false">IF(A435="","",IFERROR(INDEX(Productos!$D$2:$D$1001,MATCH(A435,Productos!$A$2:$A$1001,0))&amp;" — "&amp;INDEX(Productos!$E$2:$E$1001,MATCH(A435,Productos!$A$2:$A$1001,0)),"SKU no existe en Productos"))</f>
        <v/>
      </c>
      <c r="C435" s="11"/>
      <c r="D435" s="11"/>
      <c r="E435" s="11"/>
      <c r="F435" s="12" t="str">
        <f aca="false">IF(A435="","",SUM(C435:E435))</f>
        <v/>
      </c>
      <c r="G435" s="16" t="str">
        <f aca="false">IF(A435="","",IFERROR(INDEX(Productos!$K$2:$K$1001,MATCH(A435,Productos!$A$2:$A$1001,0)),""))</f>
        <v/>
      </c>
      <c r="H435" s="16" t="str">
        <f aca="false">IF(OR(A435="",G435=""),"",F435*G435)</f>
        <v/>
      </c>
    </row>
    <row r="436" customFormat="false" ht="15" hidden="false" customHeight="false" outlineLevel="0" collapsed="false">
      <c r="A436" s="11"/>
      <c r="B436" s="12" t="str">
        <f aca="false">IF(A436="","",IFERROR(INDEX(Productos!$D$2:$D$1001,MATCH(A436,Productos!$A$2:$A$1001,0))&amp;" — "&amp;INDEX(Productos!$E$2:$E$1001,MATCH(A436,Productos!$A$2:$A$1001,0)),"SKU no existe en Productos"))</f>
        <v/>
      </c>
      <c r="C436" s="11"/>
      <c r="D436" s="11"/>
      <c r="E436" s="11"/>
      <c r="F436" s="12" t="str">
        <f aca="false">IF(A436="","",SUM(C436:E436))</f>
        <v/>
      </c>
      <c r="G436" s="16" t="str">
        <f aca="false">IF(A436="","",IFERROR(INDEX(Productos!$K$2:$K$1001,MATCH(A436,Productos!$A$2:$A$1001,0)),""))</f>
        <v/>
      </c>
      <c r="H436" s="16" t="str">
        <f aca="false">IF(OR(A436="",G436=""),"",F436*G436)</f>
        <v/>
      </c>
    </row>
    <row r="437" customFormat="false" ht="15" hidden="false" customHeight="false" outlineLevel="0" collapsed="false">
      <c r="A437" s="11"/>
      <c r="B437" s="12" t="str">
        <f aca="false">IF(A437="","",IFERROR(INDEX(Productos!$D$2:$D$1001,MATCH(A437,Productos!$A$2:$A$1001,0))&amp;" — "&amp;INDEX(Productos!$E$2:$E$1001,MATCH(A437,Productos!$A$2:$A$1001,0)),"SKU no existe en Productos"))</f>
        <v/>
      </c>
      <c r="C437" s="11"/>
      <c r="D437" s="11"/>
      <c r="E437" s="11"/>
      <c r="F437" s="12" t="str">
        <f aca="false">IF(A437="","",SUM(C437:E437))</f>
        <v/>
      </c>
      <c r="G437" s="16" t="str">
        <f aca="false">IF(A437="","",IFERROR(INDEX(Productos!$K$2:$K$1001,MATCH(A437,Productos!$A$2:$A$1001,0)),""))</f>
        <v/>
      </c>
      <c r="H437" s="16" t="str">
        <f aca="false">IF(OR(A437="",G437=""),"",F437*G437)</f>
        <v/>
      </c>
    </row>
    <row r="438" customFormat="false" ht="15" hidden="false" customHeight="false" outlineLevel="0" collapsed="false">
      <c r="A438" s="11"/>
      <c r="B438" s="12" t="str">
        <f aca="false">IF(A438="","",IFERROR(INDEX(Productos!$D$2:$D$1001,MATCH(A438,Productos!$A$2:$A$1001,0))&amp;" — "&amp;INDEX(Productos!$E$2:$E$1001,MATCH(A438,Productos!$A$2:$A$1001,0)),"SKU no existe en Productos"))</f>
        <v/>
      </c>
      <c r="C438" s="11"/>
      <c r="D438" s="11"/>
      <c r="E438" s="11"/>
      <c r="F438" s="12" t="str">
        <f aca="false">IF(A438="","",SUM(C438:E438))</f>
        <v/>
      </c>
      <c r="G438" s="16" t="str">
        <f aca="false">IF(A438="","",IFERROR(INDEX(Productos!$K$2:$K$1001,MATCH(A438,Productos!$A$2:$A$1001,0)),""))</f>
        <v/>
      </c>
      <c r="H438" s="16" t="str">
        <f aca="false">IF(OR(A438="",G438=""),"",F438*G438)</f>
        <v/>
      </c>
    </row>
    <row r="439" customFormat="false" ht="15" hidden="false" customHeight="false" outlineLevel="0" collapsed="false">
      <c r="A439" s="11"/>
      <c r="B439" s="12" t="str">
        <f aca="false">IF(A439="","",IFERROR(INDEX(Productos!$D$2:$D$1001,MATCH(A439,Productos!$A$2:$A$1001,0))&amp;" — "&amp;INDEX(Productos!$E$2:$E$1001,MATCH(A439,Productos!$A$2:$A$1001,0)),"SKU no existe en Productos"))</f>
        <v/>
      </c>
      <c r="C439" s="11"/>
      <c r="D439" s="11"/>
      <c r="E439" s="11"/>
      <c r="F439" s="12" t="str">
        <f aca="false">IF(A439="","",SUM(C439:E439))</f>
        <v/>
      </c>
      <c r="G439" s="16" t="str">
        <f aca="false">IF(A439="","",IFERROR(INDEX(Productos!$K$2:$K$1001,MATCH(A439,Productos!$A$2:$A$1001,0)),""))</f>
        <v/>
      </c>
      <c r="H439" s="16" t="str">
        <f aca="false">IF(OR(A439="",G439=""),"",F439*G439)</f>
        <v/>
      </c>
    </row>
    <row r="440" customFormat="false" ht="15" hidden="false" customHeight="false" outlineLevel="0" collapsed="false">
      <c r="A440" s="11"/>
      <c r="B440" s="12" t="str">
        <f aca="false">IF(A440="","",IFERROR(INDEX(Productos!$D$2:$D$1001,MATCH(A440,Productos!$A$2:$A$1001,0))&amp;" — "&amp;INDEX(Productos!$E$2:$E$1001,MATCH(A440,Productos!$A$2:$A$1001,0)),"SKU no existe en Productos"))</f>
        <v/>
      </c>
      <c r="C440" s="11"/>
      <c r="D440" s="11"/>
      <c r="E440" s="11"/>
      <c r="F440" s="12" t="str">
        <f aca="false">IF(A440="","",SUM(C440:E440))</f>
        <v/>
      </c>
      <c r="G440" s="16" t="str">
        <f aca="false">IF(A440="","",IFERROR(INDEX(Productos!$K$2:$K$1001,MATCH(A440,Productos!$A$2:$A$1001,0)),""))</f>
        <v/>
      </c>
      <c r="H440" s="16" t="str">
        <f aca="false">IF(OR(A440="",G440=""),"",F440*G440)</f>
        <v/>
      </c>
    </row>
    <row r="441" customFormat="false" ht="15" hidden="false" customHeight="false" outlineLevel="0" collapsed="false">
      <c r="A441" s="11"/>
      <c r="B441" s="12" t="str">
        <f aca="false">IF(A441="","",IFERROR(INDEX(Productos!$D$2:$D$1001,MATCH(A441,Productos!$A$2:$A$1001,0))&amp;" — "&amp;INDEX(Productos!$E$2:$E$1001,MATCH(A441,Productos!$A$2:$A$1001,0)),"SKU no existe en Productos"))</f>
        <v/>
      </c>
      <c r="C441" s="11"/>
      <c r="D441" s="11"/>
      <c r="E441" s="11"/>
      <c r="F441" s="12" t="str">
        <f aca="false">IF(A441="","",SUM(C441:E441))</f>
        <v/>
      </c>
      <c r="G441" s="16" t="str">
        <f aca="false">IF(A441="","",IFERROR(INDEX(Productos!$K$2:$K$1001,MATCH(A441,Productos!$A$2:$A$1001,0)),""))</f>
        <v/>
      </c>
      <c r="H441" s="16" t="str">
        <f aca="false">IF(OR(A441="",G441=""),"",F441*G441)</f>
        <v/>
      </c>
    </row>
    <row r="442" customFormat="false" ht="15" hidden="false" customHeight="false" outlineLevel="0" collapsed="false">
      <c r="A442" s="11"/>
      <c r="B442" s="12" t="str">
        <f aca="false">IF(A442="","",IFERROR(INDEX(Productos!$D$2:$D$1001,MATCH(A442,Productos!$A$2:$A$1001,0))&amp;" — "&amp;INDEX(Productos!$E$2:$E$1001,MATCH(A442,Productos!$A$2:$A$1001,0)),"SKU no existe en Productos"))</f>
        <v/>
      </c>
      <c r="C442" s="11"/>
      <c r="D442" s="11"/>
      <c r="E442" s="11"/>
      <c r="F442" s="12" t="str">
        <f aca="false">IF(A442="","",SUM(C442:E442))</f>
        <v/>
      </c>
      <c r="G442" s="16" t="str">
        <f aca="false">IF(A442="","",IFERROR(INDEX(Productos!$K$2:$K$1001,MATCH(A442,Productos!$A$2:$A$1001,0)),""))</f>
        <v/>
      </c>
      <c r="H442" s="16" t="str">
        <f aca="false">IF(OR(A442="",G442=""),"",F442*G442)</f>
        <v/>
      </c>
    </row>
    <row r="443" customFormat="false" ht="15" hidden="false" customHeight="false" outlineLevel="0" collapsed="false">
      <c r="A443" s="11"/>
      <c r="B443" s="12" t="str">
        <f aca="false">IF(A443="","",IFERROR(INDEX(Productos!$D$2:$D$1001,MATCH(A443,Productos!$A$2:$A$1001,0))&amp;" — "&amp;INDEX(Productos!$E$2:$E$1001,MATCH(A443,Productos!$A$2:$A$1001,0)),"SKU no existe en Productos"))</f>
        <v/>
      </c>
      <c r="C443" s="11"/>
      <c r="D443" s="11"/>
      <c r="E443" s="11"/>
      <c r="F443" s="12" t="str">
        <f aca="false">IF(A443="","",SUM(C443:E443))</f>
        <v/>
      </c>
      <c r="G443" s="16" t="str">
        <f aca="false">IF(A443="","",IFERROR(INDEX(Productos!$K$2:$K$1001,MATCH(A443,Productos!$A$2:$A$1001,0)),""))</f>
        <v/>
      </c>
      <c r="H443" s="16" t="str">
        <f aca="false">IF(OR(A443="",G443=""),"",F443*G443)</f>
        <v/>
      </c>
    </row>
    <row r="444" customFormat="false" ht="15" hidden="false" customHeight="false" outlineLevel="0" collapsed="false">
      <c r="A444" s="11"/>
      <c r="B444" s="12" t="str">
        <f aca="false">IF(A444="","",IFERROR(INDEX(Productos!$D$2:$D$1001,MATCH(A444,Productos!$A$2:$A$1001,0))&amp;" — "&amp;INDEX(Productos!$E$2:$E$1001,MATCH(A444,Productos!$A$2:$A$1001,0)),"SKU no existe en Productos"))</f>
        <v/>
      </c>
      <c r="C444" s="11"/>
      <c r="D444" s="11"/>
      <c r="E444" s="11"/>
      <c r="F444" s="12" t="str">
        <f aca="false">IF(A444="","",SUM(C444:E444))</f>
        <v/>
      </c>
      <c r="G444" s="16" t="str">
        <f aca="false">IF(A444="","",IFERROR(INDEX(Productos!$K$2:$K$1001,MATCH(A444,Productos!$A$2:$A$1001,0)),""))</f>
        <v/>
      </c>
      <c r="H444" s="16" t="str">
        <f aca="false">IF(OR(A444="",G444=""),"",F444*G444)</f>
        <v/>
      </c>
    </row>
    <row r="445" customFormat="false" ht="15" hidden="false" customHeight="false" outlineLevel="0" collapsed="false">
      <c r="A445" s="11"/>
      <c r="B445" s="12" t="str">
        <f aca="false">IF(A445="","",IFERROR(INDEX(Productos!$D$2:$D$1001,MATCH(A445,Productos!$A$2:$A$1001,0))&amp;" — "&amp;INDEX(Productos!$E$2:$E$1001,MATCH(A445,Productos!$A$2:$A$1001,0)),"SKU no existe en Productos"))</f>
        <v/>
      </c>
      <c r="C445" s="11"/>
      <c r="D445" s="11"/>
      <c r="E445" s="11"/>
      <c r="F445" s="12" t="str">
        <f aca="false">IF(A445="","",SUM(C445:E445))</f>
        <v/>
      </c>
      <c r="G445" s="16" t="str">
        <f aca="false">IF(A445="","",IFERROR(INDEX(Productos!$K$2:$K$1001,MATCH(A445,Productos!$A$2:$A$1001,0)),""))</f>
        <v/>
      </c>
      <c r="H445" s="16" t="str">
        <f aca="false">IF(OR(A445="",G445=""),"",F445*G445)</f>
        <v/>
      </c>
    </row>
    <row r="446" customFormat="false" ht="15" hidden="false" customHeight="false" outlineLevel="0" collapsed="false">
      <c r="A446" s="11"/>
      <c r="B446" s="12" t="str">
        <f aca="false">IF(A446="","",IFERROR(INDEX(Productos!$D$2:$D$1001,MATCH(A446,Productos!$A$2:$A$1001,0))&amp;" — "&amp;INDEX(Productos!$E$2:$E$1001,MATCH(A446,Productos!$A$2:$A$1001,0)),"SKU no existe en Productos"))</f>
        <v/>
      </c>
      <c r="C446" s="11"/>
      <c r="D446" s="11"/>
      <c r="E446" s="11"/>
      <c r="F446" s="12" t="str">
        <f aca="false">IF(A446="","",SUM(C446:E446))</f>
        <v/>
      </c>
      <c r="G446" s="16" t="str">
        <f aca="false">IF(A446="","",IFERROR(INDEX(Productos!$K$2:$K$1001,MATCH(A446,Productos!$A$2:$A$1001,0)),""))</f>
        <v/>
      </c>
      <c r="H446" s="16" t="str">
        <f aca="false">IF(OR(A446="",G446=""),"",F446*G446)</f>
        <v/>
      </c>
    </row>
    <row r="447" customFormat="false" ht="15" hidden="false" customHeight="false" outlineLevel="0" collapsed="false">
      <c r="A447" s="11"/>
      <c r="B447" s="12" t="str">
        <f aca="false">IF(A447="","",IFERROR(INDEX(Productos!$D$2:$D$1001,MATCH(A447,Productos!$A$2:$A$1001,0))&amp;" — "&amp;INDEX(Productos!$E$2:$E$1001,MATCH(A447,Productos!$A$2:$A$1001,0)),"SKU no existe en Productos"))</f>
        <v/>
      </c>
      <c r="C447" s="11"/>
      <c r="D447" s="11"/>
      <c r="E447" s="11"/>
      <c r="F447" s="12" t="str">
        <f aca="false">IF(A447="","",SUM(C447:E447))</f>
        <v/>
      </c>
      <c r="G447" s="16" t="str">
        <f aca="false">IF(A447="","",IFERROR(INDEX(Productos!$K$2:$K$1001,MATCH(A447,Productos!$A$2:$A$1001,0)),""))</f>
        <v/>
      </c>
      <c r="H447" s="16" t="str">
        <f aca="false">IF(OR(A447="",G447=""),"",F447*G447)</f>
        <v/>
      </c>
    </row>
    <row r="448" customFormat="false" ht="15" hidden="false" customHeight="false" outlineLevel="0" collapsed="false">
      <c r="A448" s="11"/>
      <c r="B448" s="12" t="str">
        <f aca="false">IF(A448="","",IFERROR(INDEX(Productos!$D$2:$D$1001,MATCH(A448,Productos!$A$2:$A$1001,0))&amp;" — "&amp;INDEX(Productos!$E$2:$E$1001,MATCH(A448,Productos!$A$2:$A$1001,0)),"SKU no existe en Productos"))</f>
        <v/>
      </c>
      <c r="C448" s="11"/>
      <c r="D448" s="11"/>
      <c r="E448" s="11"/>
      <c r="F448" s="12" t="str">
        <f aca="false">IF(A448="","",SUM(C448:E448))</f>
        <v/>
      </c>
      <c r="G448" s="16" t="str">
        <f aca="false">IF(A448="","",IFERROR(INDEX(Productos!$K$2:$K$1001,MATCH(A448,Productos!$A$2:$A$1001,0)),""))</f>
        <v/>
      </c>
      <c r="H448" s="16" t="str">
        <f aca="false">IF(OR(A448="",G448=""),"",F448*G448)</f>
        <v/>
      </c>
    </row>
    <row r="449" customFormat="false" ht="15" hidden="false" customHeight="false" outlineLevel="0" collapsed="false">
      <c r="A449" s="11"/>
      <c r="B449" s="12" t="str">
        <f aca="false">IF(A449="","",IFERROR(INDEX(Productos!$D$2:$D$1001,MATCH(A449,Productos!$A$2:$A$1001,0))&amp;" — "&amp;INDEX(Productos!$E$2:$E$1001,MATCH(A449,Productos!$A$2:$A$1001,0)),"SKU no existe en Productos"))</f>
        <v/>
      </c>
      <c r="C449" s="11"/>
      <c r="D449" s="11"/>
      <c r="E449" s="11"/>
      <c r="F449" s="12" t="str">
        <f aca="false">IF(A449="","",SUM(C449:E449))</f>
        <v/>
      </c>
      <c r="G449" s="16" t="str">
        <f aca="false">IF(A449="","",IFERROR(INDEX(Productos!$K$2:$K$1001,MATCH(A449,Productos!$A$2:$A$1001,0)),""))</f>
        <v/>
      </c>
      <c r="H449" s="16" t="str">
        <f aca="false">IF(OR(A449="",G449=""),"",F449*G449)</f>
        <v/>
      </c>
    </row>
    <row r="450" customFormat="false" ht="15" hidden="false" customHeight="false" outlineLevel="0" collapsed="false">
      <c r="A450" s="11"/>
      <c r="B450" s="12" t="str">
        <f aca="false">IF(A450="","",IFERROR(INDEX(Productos!$D$2:$D$1001,MATCH(A450,Productos!$A$2:$A$1001,0))&amp;" — "&amp;INDEX(Productos!$E$2:$E$1001,MATCH(A450,Productos!$A$2:$A$1001,0)),"SKU no existe en Productos"))</f>
        <v/>
      </c>
      <c r="C450" s="11"/>
      <c r="D450" s="11"/>
      <c r="E450" s="11"/>
      <c r="F450" s="12" t="str">
        <f aca="false">IF(A450="","",SUM(C450:E450))</f>
        <v/>
      </c>
      <c r="G450" s="16" t="str">
        <f aca="false">IF(A450="","",IFERROR(INDEX(Productos!$K$2:$K$1001,MATCH(A450,Productos!$A$2:$A$1001,0)),""))</f>
        <v/>
      </c>
      <c r="H450" s="16" t="str">
        <f aca="false">IF(OR(A450="",G450=""),"",F450*G450)</f>
        <v/>
      </c>
    </row>
    <row r="451" customFormat="false" ht="15" hidden="false" customHeight="false" outlineLevel="0" collapsed="false">
      <c r="A451" s="11"/>
      <c r="B451" s="12" t="str">
        <f aca="false">IF(A451="","",IFERROR(INDEX(Productos!$D$2:$D$1001,MATCH(A451,Productos!$A$2:$A$1001,0))&amp;" — "&amp;INDEX(Productos!$E$2:$E$1001,MATCH(A451,Productos!$A$2:$A$1001,0)),"SKU no existe en Productos"))</f>
        <v/>
      </c>
      <c r="C451" s="11"/>
      <c r="D451" s="11"/>
      <c r="E451" s="11"/>
      <c r="F451" s="12" t="str">
        <f aca="false">IF(A451="","",SUM(C451:E451))</f>
        <v/>
      </c>
      <c r="G451" s="16" t="str">
        <f aca="false">IF(A451="","",IFERROR(INDEX(Productos!$K$2:$K$1001,MATCH(A451,Productos!$A$2:$A$1001,0)),""))</f>
        <v/>
      </c>
      <c r="H451" s="16" t="str">
        <f aca="false">IF(OR(A451="",G451=""),"",F451*G451)</f>
        <v/>
      </c>
    </row>
    <row r="452" customFormat="false" ht="15" hidden="false" customHeight="false" outlineLevel="0" collapsed="false">
      <c r="A452" s="11"/>
      <c r="B452" s="12" t="str">
        <f aca="false">IF(A452="","",IFERROR(INDEX(Productos!$D$2:$D$1001,MATCH(A452,Productos!$A$2:$A$1001,0))&amp;" — "&amp;INDEX(Productos!$E$2:$E$1001,MATCH(A452,Productos!$A$2:$A$1001,0)),"SKU no existe en Productos"))</f>
        <v/>
      </c>
      <c r="C452" s="11"/>
      <c r="D452" s="11"/>
      <c r="E452" s="11"/>
      <c r="F452" s="12" t="str">
        <f aca="false">IF(A452="","",SUM(C452:E452))</f>
        <v/>
      </c>
      <c r="G452" s="16" t="str">
        <f aca="false">IF(A452="","",IFERROR(INDEX(Productos!$K$2:$K$1001,MATCH(A452,Productos!$A$2:$A$1001,0)),""))</f>
        <v/>
      </c>
      <c r="H452" s="16" t="str">
        <f aca="false">IF(OR(A452="",G452=""),"",F452*G452)</f>
        <v/>
      </c>
    </row>
    <row r="453" customFormat="false" ht="15" hidden="false" customHeight="false" outlineLevel="0" collapsed="false">
      <c r="A453" s="11"/>
      <c r="B453" s="12" t="str">
        <f aca="false">IF(A453="","",IFERROR(INDEX(Productos!$D$2:$D$1001,MATCH(A453,Productos!$A$2:$A$1001,0))&amp;" — "&amp;INDEX(Productos!$E$2:$E$1001,MATCH(A453,Productos!$A$2:$A$1001,0)),"SKU no existe en Productos"))</f>
        <v/>
      </c>
      <c r="C453" s="11"/>
      <c r="D453" s="11"/>
      <c r="E453" s="11"/>
      <c r="F453" s="12" t="str">
        <f aca="false">IF(A453="","",SUM(C453:E453))</f>
        <v/>
      </c>
      <c r="G453" s="16" t="str">
        <f aca="false">IF(A453="","",IFERROR(INDEX(Productos!$K$2:$K$1001,MATCH(A453,Productos!$A$2:$A$1001,0)),""))</f>
        <v/>
      </c>
      <c r="H453" s="16" t="str">
        <f aca="false">IF(OR(A453="",G453=""),"",F453*G453)</f>
        <v/>
      </c>
    </row>
    <row r="454" customFormat="false" ht="15" hidden="false" customHeight="false" outlineLevel="0" collapsed="false">
      <c r="A454" s="11"/>
      <c r="B454" s="12" t="str">
        <f aca="false">IF(A454="","",IFERROR(INDEX(Productos!$D$2:$D$1001,MATCH(A454,Productos!$A$2:$A$1001,0))&amp;" — "&amp;INDEX(Productos!$E$2:$E$1001,MATCH(A454,Productos!$A$2:$A$1001,0)),"SKU no existe en Productos"))</f>
        <v/>
      </c>
      <c r="C454" s="11"/>
      <c r="D454" s="11"/>
      <c r="E454" s="11"/>
      <c r="F454" s="12" t="str">
        <f aca="false">IF(A454="","",SUM(C454:E454))</f>
        <v/>
      </c>
      <c r="G454" s="16" t="str">
        <f aca="false">IF(A454="","",IFERROR(INDEX(Productos!$K$2:$K$1001,MATCH(A454,Productos!$A$2:$A$1001,0)),""))</f>
        <v/>
      </c>
      <c r="H454" s="16" t="str">
        <f aca="false">IF(OR(A454="",G454=""),"",F454*G454)</f>
        <v/>
      </c>
    </row>
    <row r="455" customFormat="false" ht="15" hidden="false" customHeight="false" outlineLevel="0" collapsed="false">
      <c r="A455" s="11"/>
      <c r="B455" s="12" t="str">
        <f aca="false">IF(A455="","",IFERROR(INDEX(Productos!$D$2:$D$1001,MATCH(A455,Productos!$A$2:$A$1001,0))&amp;" — "&amp;INDEX(Productos!$E$2:$E$1001,MATCH(A455,Productos!$A$2:$A$1001,0)),"SKU no existe en Productos"))</f>
        <v/>
      </c>
      <c r="C455" s="11"/>
      <c r="D455" s="11"/>
      <c r="E455" s="11"/>
      <c r="F455" s="12" t="str">
        <f aca="false">IF(A455="","",SUM(C455:E455))</f>
        <v/>
      </c>
      <c r="G455" s="16" t="str">
        <f aca="false">IF(A455="","",IFERROR(INDEX(Productos!$K$2:$K$1001,MATCH(A455,Productos!$A$2:$A$1001,0)),""))</f>
        <v/>
      </c>
      <c r="H455" s="16" t="str">
        <f aca="false">IF(OR(A455="",G455=""),"",F455*G455)</f>
        <v/>
      </c>
    </row>
    <row r="456" customFormat="false" ht="15" hidden="false" customHeight="false" outlineLevel="0" collapsed="false">
      <c r="A456" s="11"/>
      <c r="B456" s="12" t="str">
        <f aca="false">IF(A456="","",IFERROR(INDEX(Productos!$D$2:$D$1001,MATCH(A456,Productos!$A$2:$A$1001,0))&amp;" — "&amp;INDEX(Productos!$E$2:$E$1001,MATCH(A456,Productos!$A$2:$A$1001,0)),"SKU no existe en Productos"))</f>
        <v/>
      </c>
      <c r="C456" s="11"/>
      <c r="D456" s="11"/>
      <c r="E456" s="11"/>
      <c r="F456" s="12" t="str">
        <f aca="false">IF(A456="","",SUM(C456:E456))</f>
        <v/>
      </c>
      <c r="G456" s="16" t="str">
        <f aca="false">IF(A456="","",IFERROR(INDEX(Productos!$K$2:$K$1001,MATCH(A456,Productos!$A$2:$A$1001,0)),""))</f>
        <v/>
      </c>
      <c r="H456" s="16" t="str">
        <f aca="false">IF(OR(A456="",G456=""),"",F456*G456)</f>
        <v/>
      </c>
    </row>
    <row r="457" customFormat="false" ht="15" hidden="false" customHeight="false" outlineLevel="0" collapsed="false">
      <c r="A457" s="11"/>
      <c r="B457" s="12" t="str">
        <f aca="false">IF(A457="","",IFERROR(INDEX(Productos!$D$2:$D$1001,MATCH(A457,Productos!$A$2:$A$1001,0))&amp;" — "&amp;INDEX(Productos!$E$2:$E$1001,MATCH(A457,Productos!$A$2:$A$1001,0)),"SKU no existe en Productos"))</f>
        <v/>
      </c>
      <c r="C457" s="11"/>
      <c r="D457" s="11"/>
      <c r="E457" s="11"/>
      <c r="F457" s="12" t="str">
        <f aca="false">IF(A457="","",SUM(C457:E457))</f>
        <v/>
      </c>
      <c r="G457" s="16" t="str">
        <f aca="false">IF(A457="","",IFERROR(INDEX(Productos!$K$2:$K$1001,MATCH(A457,Productos!$A$2:$A$1001,0)),""))</f>
        <v/>
      </c>
      <c r="H457" s="16" t="str">
        <f aca="false">IF(OR(A457="",G457=""),"",F457*G457)</f>
        <v/>
      </c>
    </row>
    <row r="458" customFormat="false" ht="15" hidden="false" customHeight="false" outlineLevel="0" collapsed="false">
      <c r="A458" s="11"/>
      <c r="B458" s="12" t="str">
        <f aca="false">IF(A458="","",IFERROR(INDEX(Productos!$D$2:$D$1001,MATCH(A458,Productos!$A$2:$A$1001,0))&amp;" — "&amp;INDEX(Productos!$E$2:$E$1001,MATCH(A458,Productos!$A$2:$A$1001,0)),"SKU no existe en Productos"))</f>
        <v/>
      </c>
      <c r="C458" s="11"/>
      <c r="D458" s="11"/>
      <c r="E458" s="11"/>
      <c r="F458" s="12" t="str">
        <f aca="false">IF(A458="","",SUM(C458:E458))</f>
        <v/>
      </c>
      <c r="G458" s="16" t="str">
        <f aca="false">IF(A458="","",IFERROR(INDEX(Productos!$K$2:$K$1001,MATCH(A458,Productos!$A$2:$A$1001,0)),""))</f>
        <v/>
      </c>
      <c r="H458" s="16" t="str">
        <f aca="false">IF(OR(A458="",G458=""),"",F458*G458)</f>
        <v/>
      </c>
    </row>
    <row r="459" customFormat="false" ht="15" hidden="false" customHeight="false" outlineLevel="0" collapsed="false">
      <c r="A459" s="11"/>
      <c r="B459" s="12" t="str">
        <f aca="false">IF(A459="","",IFERROR(INDEX(Productos!$D$2:$D$1001,MATCH(A459,Productos!$A$2:$A$1001,0))&amp;" — "&amp;INDEX(Productos!$E$2:$E$1001,MATCH(A459,Productos!$A$2:$A$1001,0)),"SKU no existe en Productos"))</f>
        <v/>
      </c>
      <c r="C459" s="11"/>
      <c r="D459" s="11"/>
      <c r="E459" s="11"/>
      <c r="F459" s="12" t="str">
        <f aca="false">IF(A459="","",SUM(C459:E459))</f>
        <v/>
      </c>
      <c r="G459" s="16" t="str">
        <f aca="false">IF(A459="","",IFERROR(INDEX(Productos!$K$2:$K$1001,MATCH(A459,Productos!$A$2:$A$1001,0)),""))</f>
        <v/>
      </c>
      <c r="H459" s="16" t="str">
        <f aca="false">IF(OR(A459="",G459=""),"",F459*G459)</f>
        <v/>
      </c>
    </row>
    <row r="460" customFormat="false" ht="15" hidden="false" customHeight="false" outlineLevel="0" collapsed="false">
      <c r="A460" s="11"/>
      <c r="B460" s="12" t="str">
        <f aca="false">IF(A460="","",IFERROR(INDEX(Productos!$D$2:$D$1001,MATCH(A460,Productos!$A$2:$A$1001,0))&amp;" — "&amp;INDEX(Productos!$E$2:$E$1001,MATCH(A460,Productos!$A$2:$A$1001,0)),"SKU no existe en Productos"))</f>
        <v/>
      </c>
      <c r="C460" s="11"/>
      <c r="D460" s="11"/>
      <c r="E460" s="11"/>
      <c r="F460" s="12" t="str">
        <f aca="false">IF(A460="","",SUM(C460:E460))</f>
        <v/>
      </c>
      <c r="G460" s="16" t="str">
        <f aca="false">IF(A460="","",IFERROR(INDEX(Productos!$K$2:$K$1001,MATCH(A460,Productos!$A$2:$A$1001,0)),""))</f>
        <v/>
      </c>
      <c r="H460" s="16" t="str">
        <f aca="false">IF(OR(A460="",G460=""),"",F460*G460)</f>
        <v/>
      </c>
    </row>
    <row r="461" customFormat="false" ht="15" hidden="false" customHeight="false" outlineLevel="0" collapsed="false">
      <c r="A461" s="11"/>
      <c r="B461" s="12" t="str">
        <f aca="false">IF(A461="","",IFERROR(INDEX(Productos!$D$2:$D$1001,MATCH(A461,Productos!$A$2:$A$1001,0))&amp;" — "&amp;INDEX(Productos!$E$2:$E$1001,MATCH(A461,Productos!$A$2:$A$1001,0)),"SKU no existe en Productos"))</f>
        <v/>
      </c>
      <c r="C461" s="11"/>
      <c r="D461" s="11"/>
      <c r="E461" s="11"/>
      <c r="F461" s="12" t="str">
        <f aca="false">IF(A461="","",SUM(C461:E461))</f>
        <v/>
      </c>
      <c r="G461" s="16" t="str">
        <f aca="false">IF(A461="","",IFERROR(INDEX(Productos!$K$2:$K$1001,MATCH(A461,Productos!$A$2:$A$1001,0)),""))</f>
        <v/>
      </c>
      <c r="H461" s="16" t="str">
        <f aca="false">IF(OR(A461="",G461=""),"",F461*G461)</f>
        <v/>
      </c>
    </row>
    <row r="462" customFormat="false" ht="15" hidden="false" customHeight="false" outlineLevel="0" collapsed="false">
      <c r="A462" s="11"/>
      <c r="B462" s="12" t="str">
        <f aca="false">IF(A462="","",IFERROR(INDEX(Productos!$D$2:$D$1001,MATCH(A462,Productos!$A$2:$A$1001,0))&amp;" — "&amp;INDEX(Productos!$E$2:$E$1001,MATCH(A462,Productos!$A$2:$A$1001,0)),"SKU no existe en Productos"))</f>
        <v/>
      </c>
      <c r="C462" s="11"/>
      <c r="D462" s="11"/>
      <c r="E462" s="11"/>
      <c r="F462" s="12" t="str">
        <f aca="false">IF(A462="","",SUM(C462:E462))</f>
        <v/>
      </c>
      <c r="G462" s="16" t="str">
        <f aca="false">IF(A462="","",IFERROR(INDEX(Productos!$K$2:$K$1001,MATCH(A462,Productos!$A$2:$A$1001,0)),""))</f>
        <v/>
      </c>
      <c r="H462" s="16" t="str">
        <f aca="false">IF(OR(A462="",G462=""),"",F462*G462)</f>
        <v/>
      </c>
    </row>
    <row r="463" customFormat="false" ht="15" hidden="false" customHeight="false" outlineLevel="0" collapsed="false">
      <c r="A463" s="11"/>
      <c r="B463" s="12" t="str">
        <f aca="false">IF(A463="","",IFERROR(INDEX(Productos!$D$2:$D$1001,MATCH(A463,Productos!$A$2:$A$1001,0))&amp;" — "&amp;INDEX(Productos!$E$2:$E$1001,MATCH(A463,Productos!$A$2:$A$1001,0)),"SKU no existe en Productos"))</f>
        <v/>
      </c>
      <c r="C463" s="11"/>
      <c r="D463" s="11"/>
      <c r="E463" s="11"/>
      <c r="F463" s="12" t="str">
        <f aca="false">IF(A463="","",SUM(C463:E463))</f>
        <v/>
      </c>
      <c r="G463" s="16" t="str">
        <f aca="false">IF(A463="","",IFERROR(INDEX(Productos!$K$2:$K$1001,MATCH(A463,Productos!$A$2:$A$1001,0)),""))</f>
        <v/>
      </c>
      <c r="H463" s="16" t="str">
        <f aca="false">IF(OR(A463="",G463=""),"",F463*G463)</f>
        <v/>
      </c>
    </row>
    <row r="464" customFormat="false" ht="15" hidden="false" customHeight="false" outlineLevel="0" collapsed="false">
      <c r="A464" s="11"/>
      <c r="B464" s="12" t="str">
        <f aca="false">IF(A464="","",IFERROR(INDEX(Productos!$D$2:$D$1001,MATCH(A464,Productos!$A$2:$A$1001,0))&amp;" — "&amp;INDEX(Productos!$E$2:$E$1001,MATCH(A464,Productos!$A$2:$A$1001,0)),"SKU no existe en Productos"))</f>
        <v/>
      </c>
      <c r="C464" s="11"/>
      <c r="D464" s="11"/>
      <c r="E464" s="11"/>
      <c r="F464" s="12" t="str">
        <f aca="false">IF(A464="","",SUM(C464:E464))</f>
        <v/>
      </c>
      <c r="G464" s="16" t="str">
        <f aca="false">IF(A464="","",IFERROR(INDEX(Productos!$K$2:$K$1001,MATCH(A464,Productos!$A$2:$A$1001,0)),""))</f>
        <v/>
      </c>
      <c r="H464" s="16" t="str">
        <f aca="false">IF(OR(A464="",G464=""),"",F464*G464)</f>
        <v/>
      </c>
    </row>
    <row r="465" customFormat="false" ht="15" hidden="false" customHeight="false" outlineLevel="0" collapsed="false">
      <c r="A465" s="11"/>
      <c r="B465" s="12" t="str">
        <f aca="false">IF(A465="","",IFERROR(INDEX(Productos!$D$2:$D$1001,MATCH(A465,Productos!$A$2:$A$1001,0))&amp;" — "&amp;INDEX(Productos!$E$2:$E$1001,MATCH(A465,Productos!$A$2:$A$1001,0)),"SKU no existe en Productos"))</f>
        <v/>
      </c>
      <c r="C465" s="11"/>
      <c r="D465" s="11"/>
      <c r="E465" s="11"/>
      <c r="F465" s="12" t="str">
        <f aca="false">IF(A465="","",SUM(C465:E465))</f>
        <v/>
      </c>
      <c r="G465" s="16" t="str">
        <f aca="false">IF(A465="","",IFERROR(INDEX(Productos!$K$2:$K$1001,MATCH(A465,Productos!$A$2:$A$1001,0)),""))</f>
        <v/>
      </c>
      <c r="H465" s="16" t="str">
        <f aca="false">IF(OR(A465="",G465=""),"",F465*G465)</f>
        <v/>
      </c>
    </row>
    <row r="466" customFormat="false" ht="15" hidden="false" customHeight="false" outlineLevel="0" collapsed="false">
      <c r="A466" s="11"/>
      <c r="B466" s="12" t="str">
        <f aca="false">IF(A466="","",IFERROR(INDEX(Productos!$D$2:$D$1001,MATCH(A466,Productos!$A$2:$A$1001,0))&amp;" — "&amp;INDEX(Productos!$E$2:$E$1001,MATCH(A466,Productos!$A$2:$A$1001,0)),"SKU no existe en Productos"))</f>
        <v/>
      </c>
      <c r="C466" s="11"/>
      <c r="D466" s="11"/>
      <c r="E466" s="11"/>
      <c r="F466" s="12" t="str">
        <f aca="false">IF(A466="","",SUM(C466:E466))</f>
        <v/>
      </c>
      <c r="G466" s="16" t="str">
        <f aca="false">IF(A466="","",IFERROR(INDEX(Productos!$K$2:$K$1001,MATCH(A466,Productos!$A$2:$A$1001,0)),""))</f>
        <v/>
      </c>
      <c r="H466" s="16" t="str">
        <f aca="false">IF(OR(A466="",G466=""),"",F466*G466)</f>
        <v/>
      </c>
    </row>
    <row r="467" customFormat="false" ht="15" hidden="false" customHeight="false" outlineLevel="0" collapsed="false">
      <c r="A467" s="11"/>
      <c r="B467" s="12" t="str">
        <f aca="false">IF(A467="","",IFERROR(INDEX(Productos!$D$2:$D$1001,MATCH(A467,Productos!$A$2:$A$1001,0))&amp;" — "&amp;INDEX(Productos!$E$2:$E$1001,MATCH(A467,Productos!$A$2:$A$1001,0)),"SKU no existe en Productos"))</f>
        <v/>
      </c>
      <c r="C467" s="11"/>
      <c r="D467" s="11"/>
      <c r="E467" s="11"/>
      <c r="F467" s="12" t="str">
        <f aca="false">IF(A467="","",SUM(C467:E467))</f>
        <v/>
      </c>
      <c r="G467" s="16" t="str">
        <f aca="false">IF(A467="","",IFERROR(INDEX(Productos!$K$2:$K$1001,MATCH(A467,Productos!$A$2:$A$1001,0)),""))</f>
        <v/>
      </c>
      <c r="H467" s="16" t="str">
        <f aca="false">IF(OR(A467="",G467=""),"",F467*G467)</f>
        <v/>
      </c>
    </row>
    <row r="468" customFormat="false" ht="15" hidden="false" customHeight="false" outlineLevel="0" collapsed="false">
      <c r="A468" s="11"/>
      <c r="B468" s="12" t="str">
        <f aca="false">IF(A468="","",IFERROR(INDEX(Productos!$D$2:$D$1001,MATCH(A468,Productos!$A$2:$A$1001,0))&amp;" — "&amp;INDEX(Productos!$E$2:$E$1001,MATCH(A468,Productos!$A$2:$A$1001,0)),"SKU no existe en Productos"))</f>
        <v/>
      </c>
      <c r="C468" s="11"/>
      <c r="D468" s="11"/>
      <c r="E468" s="11"/>
      <c r="F468" s="12" t="str">
        <f aca="false">IF(A468="","",SUM(C468:E468))</f>
        <v/>
      </c>
      <c r="G468" s="16" t="str">
        <f aca="false">IF(A468="","",IFERROR(INDEX(Productos!$K$2:$K$1001,MATCH(A468,Productos!$A$2:$A$1001,0)),""))</f>
        <v/>
      </c>
      <c r="H468" s="16" t="str">
        <f aca="false">IF(OR(A468="",G468=""),"",F468*G468)</f>
        <v/>
      </c>
    </row>
    <row r="469" customFormat="false" ht="15" hidden="false" customHeight="false" outlineLevel="0" collapsed="false">
      <c r="A469" s="11"/>
      <c r="B469" s="12" t="str">
        <f aca="false">IF(A469="","",IFERROR(INDEX(Productos!$D$2:$D$1001,MATCH(A469,Productos!$A$2:$A$1001,0))&amp;" — "&amp;INDEX(Productos!$E$2:$E$1001,MATCH(A469,Productos!$A$2:$A$1001,0)),"SKU no existe en Productos"))</f>
        <v/>
      </c>
      <c r="C469" s="11"/>
      <c r="D469" s="11"/>
      <c r="E469" s="11"/>
      <c r="F469" s="12" t="str">
        <f aca="false">IF(A469="","",SUM(C469:E469))</f>
        <v/>
      </c>
      <c r="G469" s="16" t="str">
        <f aca="false">IF(A469="","",IFERROR(INDEX(Productos!$K$2:$K$1001,MATCH(A469,Productos!$A$2:$A$1001,0)),""))</f>
        <v/>
      </c>
      <c r="H469" s="16" t="str">
        <f aca="false">IF(OR(A469="",G469=""),"",F469*G469)</f>
        <v/>
      </c>
    </row>
    <row r="470" customFormat="false" ht="15" hidden="false" customHeight="false" outlineLevel="0" collapsed="false">
      <c r="A470" s="11"/>
      <c r="B470" s="12" t="str">
        <f aca="false">IF(A470="","",IFERROR(INDEX(Productos!$D$2:$D$1001,MATCH(A470,Productos!$A$2:$A$1001,0))&amp;" — "&amp;INDEX(Productos!$E$2:$E$1001,MATCH(A470,Productos!$A$2:$A$1001,0)),"SKU no existe en Productos"))</f>
        <v/>
      </c>
      <c r="C470" s="11"/>
      <c r="D470" s="11"/>
      <c r="E470" s="11"/>
      <c r="F470" s="12" t="str">
        <f aca="false">IF(A470="","",SUM(C470:E470))</f>
        <v/>
      </c>
      <c r="G470" s="16" t="str">
        <f aca="false">IF(A470="","",IFERROR(INDEX(Productos!$K$2:$K$1001,MATCH(A470,Productos!$A$2:$A$1001,0)),""))</f>
        <v/>
      </c>
      <c r="H470" s="16" t="str">
        <f aca="false">IF(OR(A470="",G470=""),"",F470*G470)</f>
        <v/>
      </c>
    </row>
    <row r="471" customFormat="false" ht="15" hidden="false" customHeight="false" outlineLevel="0" collapsed="false">
      <c r="A471" s="11"/>
      <c r="B471" s="12" t="str">
        <f aca="false">IF(A471="","",IFERROR(INDEX(Productos!$D$2:$D$1001,MATCH(A471,Productos!$A$2:$A$1001,0))&amp;" — "&amp;INDEX(Productos!$E$2:$E$1001,MATCH(A471,Productos!$A$2:$A$1001,0)),"SKU no existe en Productos"))</f>
        <v/>
      </c>
      <c r="C471" s="11"/>
      <c r="D471" s="11"/>
      <c r="E471" s="11"/>
      <c r="F471" s="12" t="str">
        <f aca="false">IF(A471="","",SUM(C471:E471))</f>
        <v/>
      </c>
      <c r="G471" s="16" t="str">
        <f aca="false">IF(A471="","",IFERROR(INDEX(Productos!$K$2:$K$1001,MATCH(A471,Productos!$A$2:$A$1001,0)),""))</f>
        <v/>
      </c>
      <c r="H471" s="16" t="str">
        <f aca="false">IF(OR(A471="",G471=""),"",F471*G471)</f>
        <v/>
      </c>
    </row>
    <row r="472" customFormat="false" ht="15" hidden="false" customHeight="false" outlineLevel="0" collapsed="false">
      <c r="A472" s="11"/>
      <c r="B472" s="12" t="str">
        <f aca="false">IF(A472="","",IFERROR(INDEX(Productos!$D$2:$D$1001,MATCH(A472,Productos!$A$2:$A$1001,0))&amp;" — "&amp;INDEX(Productos!$E$2:$E$1001,MATCH(A472,Productos!$A$2:$A$1001,0)),"SKU no existe en Productos"))</f>
        <v/>
      </c>
      <c r="C472" s="11"/>
      <c r="D472" s="11"/>
      <c r="E472" s="11"/>
      <c r="F472" s="12" t="str">
        <f aca="false">IF(A472="","",SUM(C472:E472))</f>
        <v/>
      </c>
      <c r="G472" s="16" t="str">
        <f aca="false">IF(A472="","",IFERROR(INDEX(Productos!$K$2:$K$1001,MATCH(A472,Productos!$A$2:$A$1001,0)),""))</f>
        <v/>
      </c>
      <c r="H472" s="16" t="str">
        <f aca="false">IF(OR(A472="",G472=""),"",F472*G472)</f>
        <v/>
      </c>
    </row>
    <row r="473" customFormat="false" ht="15" hidden="false" customHeight="false" outlineLevel="0" collapsed="false">
      <c r="A473" s="11"/>
      <c r="B473" s="12" t="str">
        <f aca="false">IF(A473="","",IFERROR(INDEX(Productos!$D$2:$D$1001,MATCH(A473,Productos!$A$2:$A$1001,0))&amp;" — "&amp;INDEX(Productos!$E$2:$E$1001,MATCH(A473,Productos!$A$2:$A$1001,0)),"SKU no existe en Productos"))</f>
        <v/>
      </c>
      <c r="C473" s="11"/>
      <c r="D473" s="11"/>
      <c r="E473" s="11"/>
      <c r="F473" s="12" t="str">
        <f aca="false">IF(A473="","",SUM(C473:E473))</f>
        <v/>
      </c>
      <c r="G473" s="16" t="str">
        <f aca="false">IF(A473="","",IFERROR(INDEX(Productos!$K$2:$K$1001,MATCH(A473,Productos!$A$2:$A$1001,0)),""))</f>
        <v/>
      </c>
      <c r="H473" s="16" t="str">
        <f aca="false">IF(OR(A473="",G473=""),"",F473*G473)</f>
        <v/>
      </c>
    </row>
    <row r="474" customFormat="false" ht="15" hidden="false" customHeight="false" outlineLevel="0" collapsed="false">
      <c r="A474" s="11"/>
      <c r="B474" s="12" t="str">
        <f aca="false">IF(A474="","",IFERROR(INDEX(Productos!$D$2:$D$1001,MATCH(A474,Productos!$A$2:$A$1001,0))&amp;" — "&amp;INDEX(Productos!$E$2:$E$1001,MATCH(A474,Productos!$A$2:$A$1001,0)),"SKU no existe en Productos"))</f>
        <v/>
      </c>
      <c r="C474" s="11"/>
      <c r="D474" s="11"/>
      <c r="E474" s="11"/>
      <c r="F474" s="12" t="str">
        <f aca="false">IF(A474="","",SUM(C474:E474))</f>
        <v/>
      </c>
      <c r="G474" s="16" t="str">
        <f aca="false">IF(A474="","",IFERROR(INDEX(Productos!$K$2:$K$1001,MATCH(A474,Productos!$A$2:$A$1001,0)),""))</f>
        <v/>
      </c>
      <c r="H474" s="16" t="str">
        <f aca="false">IF(OR(A474="",G474=""),"",F474*G474)</f>
        <v/>
      </c>
    </row>
    <row r="475" customFormat="false" ht="15" hidden="false" customHeight="false" outlineLevel="0" collapsed="false">
      <c r="A475" s="11"/>
      <c r="B475" s="12" t="str">
        <f aca="false">IF(A475="","",IFERROR(INDEX(Productos!$D$2:$D$1001,MATCH(A475,Productos!$A$2:$A$1001,0))&amp;" — "&amp;INDEX(Productos!$E$2:$E$1001,MATCH(A475,Productos!$A$2:$A$1001,0)),"SKU no existe en Productos"))</f>
        <v/>
      </c>
      <c r="C475" s="11"/>
      <c r="D475" s="11"/>
      <c r="E475" s="11"/>
      <c r="F475" s="12" t="str">
        <f aca="false">IF(A475="","",SUM(C475:E475))</f>
        <v/>
      </c>
      <c r="G475" s="16" t="str">
        <f aca="false">IF(A475="","",IFERROR(INDEX(Productos!$K$2:$K$1001,MATCH(A475,Productos!$A$2:$A$1001,0)),""))</f>
        <v/>
      </c>
      <c r="H475" s="16" t="str">
        <f aca="false">IF(OR(A475="",G475=""),"",F475*G475)</f>
        <v/>
      </c>
    </row>
    <row r="476" customFormat="false" ht="15" hidden="false" customHeight="false" outlineLevel="0" collapsed="false">
      <c r="A476" s="11"/>
      <c r="B476" s="12" t="str">
        <f aca="false">IF(A476="","",IFERROR(INDEX(Productos!$D$2:$D$1001,MATCH(A476,Productos!$A$2:$A$1001,0))&amp;" — "&amp;INDEX(Productos!$E$2:$E$1001,MATCH(A476,Productos!$A$2:$A$1001,0)),"SKU no existe en Productos"))</f>
        <v/>
      </c>
      <c r="C476" s="11"/>
      <c r="D476" s="11"/>
      <c r="E476" s="11"/>
      <c r="F476" s="12" t="str">
        <f aca="false">IF(A476="","",SUM(C476:E476))</f>
        <v/>
      </c>
      <c r="G476" s="16" t="str">
        <f aca="false">IF(A476="","",IFERROR(INDEX(Productos!$K$2:$K$1001,MATCH(A476,Productos!$A$2:$A$1001,0)),""))</f>
        <v/>
      </c>
      <c r="H476" s="16" t="str">
        <f aca="false">IF(OR(A476="",G476=""),"",F476*G476)</f>
        <v/>
      </c>
    </row>
    <row r="477" customFormat="false" ht="15" hidden="false" customHeight="false" outlineLevel="0" collapsed="false">
      <c r="A477" s="11"/>
      <c r="B477" s="12" t="str">
        <f aca="false">IF(A477="","",IFERROR(INDEX(Productos!$D$2:$D$1001,MATCH(A477,Productos!$A$2:$A$1001,0))&amp;" — "&amp;INDEX(Productos!$E$2:$E$1001,MATCH(A477,Productos!$A$2:$A$1001,0)),"SKU no existe en Productos"))</f>
        <v/>
      </c>
      <c r="C477" s="11"/>
      <c r="D477" s="11"/>
      <c r="E477" s="11"/>
      <c r="F477" s="12" t="str">
        <f aca="false">IF(A477="","",SUM(C477:E477))</f>
        <v/>
      </c>
      <c r="G477" s="16" t="str">
        <f aca="false">IF(A477="","",IFERROR(INDEX(Productos!$K$2:$K$1001,MATCH(A477,Productos!$A$2:$A$1001,0)),""))</f>
        <v/>
      </c>
      <c r="H477" s="16" t="str">
        <f aca="false">IF(OR(A477="",G477=""),"",F477*G477)</f>
        <v/>
      </c>
    </row>
    <row r="478" customFormat="false" ht="15" hidden="false" customHeight="false" outlineLevel="0" collapsed="false">
      <c r="A478" s="11"/>
      <c r="B478" s="12" t="str">
        <f aca="false">IF(A478="","",IFERROR(INDEX(Productos!$D$2:$D$1001,MATCH(A478,Productos!$A$2:$A$1001,0))&amp;" — "&amp;INDEX(Productos!$E$2:$E$1001,MATCH(A478,Productos!$A$2:$A$1001,0)),"SKU no existe en Productos"))</f>
        <v/>
      </c>
      <c r="C478" s="11"/>
      <c r="D478" s="11"/>
      <c r="E478" s="11"/>
      <c r="F478" s="12" t="str">
        <f aca="false">IF(A478="","",SUM(C478:E478))</f>
        <v/>
      </c>
      <c r="G478" s="16" t="str">
        <f aca="false">IF(A478="","",IFERROR(INDEX(Productos!$K$2:$K$1001,MATCH(A478,Productos!$A$2:$A$1001,0)),""))</f>
        <v/>
      </c>
      <c r="H478" s="16" t="str">
        <f aca="false">IF(OR(A478="",G478=""),"",F478*G478)</f>
        <v/>
      </c>
    </row>
    <row r="479" customFormat="false" ht="15" hidden="false" customHeight="false" outlineLevel="0" collapsed="false">
      <c r="A479" s="11"/>
      <c r="B479" s="12" t="str">
        <f aca="false">IF(A479="","",IFERROR(INDEX(Productos!$D$2:$D$1001,MATCH(A479,Productos!$A$2:$A$1001,0))&amp;" — "&amp;INDEX(Productos!$E$2:$E$1001,MATCH(A479,Productos!$A$2:$A$1001,0)),"SKU no existe en Productos"))</f>
        <v/>
      </c>
      <c r="C479" s="11"/>
      <c r="D479" s="11"/>
      <c r="E479" s="11"/>
      <c r="F479" s="12" t="str">
        <f aca="false">IF(A479="","",SUM(C479:E479))</f>
        <v/>
      </c>
      <c r="G479" s="16" t="str">
        <f aca="false">IF(A479="","",IFERROR(INDEX(Productos!$K$2:$K$1001,MATCH(A479,Productos!$A$2:$A$1001,0)),""))</f>
        <v/>
      </c>
      <c r="H479" s="16" t="str">
        <f aca="false">IF(OR(A479="",G479=""),"",F479*G479)</f>
        <v/>
      </c>
    </row>
    <row r="480" customFormat="false" ht="15" hidden="false" customHeight="false" outlineLevel="0" collapsed="false">
      <c r="A480" s="11"/>
      <c r="B480" s="12" t="str">
        <f aca="false">IF(A480="","",IFERROR(INDEX(Productos!$D$2:$D$1001,MATCH(A480,Productos!$A$2:$A$1001,0))&amp;" — "&amp;INDEX(Productos!$E$2:$E$1001,MATCH(A480,Productos!$A$2:$A$1001,0)),"SKU no existe en Productos"))</f>
        <v/>
      </c>
      <c r="C480" s="11"/>
      <c r="D480" s="11"/>
      <c r="E480" s="11"/>
      <c r="F480" s="12" t="str">
        <f aca="false">IF(A480="","",SUM(C480:E480))</f>
        <v/>
      </c>
      <c r="G480" s="16" t="str">
        <f aca="false">IF(A480="","",IFERROR(INDEX(Productos!$K$2:$K$1001,MATCH(A480,Productos!$A$2:$A$1001,0)),""))</f>
        <v/>
      </c>
      <c r="H480" s="16" t="str">
        <f aca="false">IF(OR(A480="",G480=""),"",F480*G480)</f>
        <v/>
      </c>
    </row>
    <row r="481" customFormat="false" ht="15" hidden="false" customHeight="false" outlineLevel="0" collapsed="false">
      <c r="A481" s="11"/>
      <c r="B481" s="12" t="str">
        <f aca="false">IF(A481="","",IFERROR(INDEX(Productos!$D$2:$D$1001,MATCH(A481,Productos!$A$2:$A$1001,0))&amp;" — "&amp;INDEX(Productos!$E$2:$E$1001,MATCH(A481,Productos!$A$2:$A$1001,0)),"SKU no existe en Productos"))</f>
        <v/>
      </c>
      <c r="C481" s="11"/>
      <c r="D481" s="11"/>
      <c r="E481" s="11"/>
      <c r="F481" s="12" t="str">
        <f aca="false">IF(A481="","",SUM(C481:E481))</f>
        <v/>
      </c>
      <c r="G481" s="16" t="str">
        <f aca="false">IF(A481="","",IFERROR(INDEX(Productos!$K$2:$K$1001,MATCH(A481,Productos!$A$2:$A$1001,0)),""))</f>
        <v/>
      </c>
      <c r="H481" s="16" t="str">
        <f aca="false">IF(OR(A481="",G481=""),"",F481*G481)</f>
        <v/>
      </c>
    </row>
    <row r="482" customFormat="false" ht="15" hidden="false" customHeight="false" outlineLevel="0" collapsed="false">
      <c r="A482" s="11"/>
      <c r="B482" s="12" t="str">
        <f aca="false">IF(A482="","",IFERROR(INDEX(Productos!$D$2:$D$1001,MATCH(A482,Productos!$A$2:$A$1001,0))&amp;" — "&amp;INDEX(Productos!$E$2:$E$1001,MATCH(A482,Productos!$A$2:$A$1001,0)),"SKU no existe en Productos"))</f>
        <v/>
      </c>
      <c r="C482" s="11"/>
      <c r="D482" s="11"/>
      <c r="E482" s="11"/>
      <c r="F482" s="12" t="str">
        <f aca="false">IF(A482="","",SUM(C482:E482))</f>
        <v/>
      </c>
      <c r="G482" s="16" t="str">
        <f aca="false">IF(A482="","",IFERROR(INDEX(Productos!$K$2:$K$1001,MATCH(A482,Productos!$A$2:$A$1001,0)),""))</f>
        <v/>
      </c>
      <c r="H482" s="16" t="str">
        <f aca="false">IF(OR(A482="",G482=""),"",F482*G482)</f>
        <v/>
      </c>
    </row>
    <row r="483" customFormat="false" ht="15" hidden="false" customHeight="false" outlineLevel="0" collapsed="false">
      <c r="A483" s="11"/>
      <c r="B483" s="12" t="str">
        <f aca="false">IF(A483="","",IFERROR(INDEX(Productos!$D$2:$D$1001,MATCH(A483,Productos!$A$2:$A$1001,0))&amp;" — "&amp;INDEX(Productos!$E$2:$E$1001,MATCH(A483,Productos!$A$2:$A$1001,0)),"SKU no existe en Productos"))</f>
        <v/>
      </c>
      <c r="C483" s="11"/>
      <c r="D483" s="11"/>
      <c r="E483" s="11"/>
      <c r="F483" s="12" t="str">
        <f aca="false">IF(A483="","",SUM(C483:E483))</f>
        <v/>
      </c>
      <c r="G483" s="16" t="str">
        <f aca="false">IF(A483="","",IFERROR(INDEX(Productos!$K$2:$K$1001,MATCH(A483,Productos!$A$2:$A$1001,0)),""))</f>
        <v/>
      </c>
      <c r="H483" s="16" t="str">
        <f aca="false">IF(OR(A483="",G483=""),"",F483*G483)</f>
        <v/>
      </c>
    </row>
    <row r="484" customFormat="false" ht="15" hidden="false" customHeight="false" outlineLevel="0" collapsed="false">
      <c r="A484" s="11"/>
      <c r="B484" s="12" t="str">
        <f aca="false">IF(A484="","",IFERROR(INDEX(Productos!$D$2:$D$1001,MATCH(A484,Productos!$A$2:$A$1001,0))&amp;" — "&amp;INDEX(Productos!$E$2:$E$1001,MATCH(A484,Productos!$A$2:$A$1001,0)),"SKU no existe en Productos"))</f>
        <v/>
      </c>
      <c r="C484" s="11"/>
      <c r="D484" s="11"/>
      <c r="E484" s="11"/>
      <c r="F484" s="12" t="str">
        <f aca="false">IF(A484="","",SUM(C484:E484))</f>
        <v/>
      </c>
      <c r="G484" s="16" t="str">
        <f aca="false">IF(A484="","",IFERROR(INDEX(Productos!$K$2:$K$1001,MATCH(A484,Productos!$A$2:$A$1001,0)),""))</f>
        <v/>
      </c>
      <c r="H484" s="16" t="str">
        <f aca="false">IF(OR(A484="",G484=""),"",F484*G484)</f>
        <v/>
      </c>
    </row>
    <row r="485" customFormat="false" ht="15" hidden="false" customHeight="false" outlineLevel="0" collapsed="false">
      <c r="A485" s="11"/>
      <c r="B485" s="12" t="str">
        <f aca="false">IF(A485="","",IFERROR(INDEX(Productos!$D$2:$D$1001,MATCH(A485,Productos!$A$2:$A$1001,0))&amp;" — "&amp;INDEX(Productos!$E$2:$E$1001,MATCH(A485,Productos!$A$2:$A$1001,0)),"SKU no existe en Productos"))</f>
        <v/>
      </c>
      <c r="C485" s="11"/>
      <c r="D485" s="11"/>
      <c r="E485" s="11"/>
      <c r="F485" s="12" t="str">
        <f aca="false">IF(A485="","",SUM(C485:E485))</f>
        <v/>
      </c>
      <c r="G485" s="16" t="str">
        <f aca="false">IF(A485="","",IFERROR(INDEX(Productos!$K$2:$K$1001,MATCH(A485,Productos!$A$2:$A$1001,0)),""))</f>
        <v/>
      </c>
      <c r="H485" s="16" t="str">
        <f aca="false">IF(OR(A485="",G485=""),"",F485*G485)</f>
        <v/>
      </c>
    </row>
    <row r="486" customFormat="false" ht="15" hidden="false" customHeight="false" outlineLevel="0" collapsed="false">
      <c r="A486" s="11"/>
      <c r="B486" s="12" t="str">
        <f aca="false">IF(A486="","",IFERROR(INDEX(Productos!$D$2:$D$1001,MATCH(A486,Productos!$A$2:$A$1001,0))&amp;" — "&amp;INDEX(Productos!$E$2:$E$1001,MATCH(A486,Productos!$A$2:$A$1001,0)),"SKU no existe en Productos"))</f>
        <v/>
      </c>
      <c r="C486" s="11"/>
      <c r="D486" s="11"/>
      <c r="E486" s="11"/>
      <c r="F486" s="12" t="str">
        <f aca="false">IF(A486="","",SUM(C486:E486))</f>
        <v/>
      </c>
      <c r="G486" s="16" t="str">
        <f aca="false">IF(A486="","",IFERROR(INDEX(Productos!$K$2:$K$1001,MATCH(A486,Productos!$A$2:$A$1001,0)),""))</f>
        <v/>
      </c>
      <c r="H486" s="16" t="str">
        <f aca="false">IF(OR(A486="",G486=""),"",F486*G486)</f>
        <v/>
      </c>
    </row>
    <row r="487" customFormat="false" ht="15" hidden="false" customHeight="false" outlineLevel="0" collapsed="false">
      <c r="A487" s="11"/>
      <c r="B487" s="12" t="str">
        <f aca="false">IF(A487="","",IFERROR(INDEX(Productos!$D$2:$D$1001,MATCH(A487,Productos!$A$2:$A$1001,0))&amp;" — "&amp;INDEX(Productos!$E$2:$E$1001,MATCH(A487,Productos!$A$2:$A$1001,0)),"SKU no existe en Productos"))</f>
        <v/>
      </c>
      <c r="C487" s="11"/>
      <c r="D487" s="11"/>
      <c r="E487" s="11"/>
      <c r="F487" s="12" t="str">
        <f aca="false">IF(A487="","",SUM(C487:E487))</f>
        <v/>
      </c>
      <c r="G487" s="16" t="str">
        <f aca="false">IF(A487="","",IFERROR(INDEX(Productos!$K$2:$K$1001,MATCH(A487,Productos!$A$2:$A$1001,0)),""))</f>
        <v/>
      </c>
      <c r="H487" s="16" t="str">
        <f aca="false">IF(OR(A487="",G487=""),"",F487*G487)</f>
        <v/>
      </c>
    </row>
    <row r="488" customFormat="false" ht="15" hidden="false" customHeight="false" outlineLevel="0" collapsed="false">
      <c r="A488" s="11"/>
      <c r="B488" s="12" t="str">
        <f aca="false">IF(A488="","",IFERROR(INDEX(Productos!$D$2:$D$1001,MATCH(A488,Productos!$A$2:$A$1001,0))&amp;" — "&amp;INDEX(Productos!$E$2:$E$1001,MATCH(A488,Productos!$A$2:$A$1001,0)),"SKU no existe en Productos"))</f>
        <v/>
      </c>
      <c r="C488" s="11"/>
      <c r="D488" s="11"/>
      <c r="E488" s="11"/>
      <c r="F488" s="12" t="str">
        <f aca="false">IF(A488="","",SUM(C488:E488))</f>
        <v/>
      </c>
      <c r="G488" s="16" t="str">
        <f aca="false">IF(A488="","",IFERROR(INDEX(Productos!$K$2:$K$1001,MATCH(A488,Productos!$A$2:$A$1001,0)),""))</f>
        <v/>
      </c>
      <c r="H488" s="16" t="str">
        <f aca="false">IF(OR(A488="",G488=""),"",F488*G488)</f>
        <v/>
      </c>
    </row>
    <row r="489" customFormat="false" ht="15" hidden="false" customHeight="false" outlineLevel="0" collapsed="false">
      <c r="A489" s="11"/>
      <c r="B489" s="12" t="str">
        <f aca="false">IF(A489="","",IFERROR(INDEX(Productos!$D$2:$D$1001,MATCH(A489,Productos!$A$2:$A$1001,0))&amp;" — "&amp;INDEX(Productos!$E$2:$E$1001,MATCH(A489,Productos!$A$2:$A$1001,0)),"SKU no existe en Productos"))</f>
        <v/>
      </c>
      <c r="C489" s="11"/>
      <c r="D489" s="11"/>
      <c r="E489" s="11"/>
      <c r="F489" s="12" t="str">
        <f aca="false">IF(A489="","",SUM(C489:E489))</f>
        <v/>
      </c>
      <c r="G489" s="16" t="str">
        <f aca="false">IF(A489="","",IFERROR(INDEX(Productos!$K$2:$K$1001,MATCH(A489,Productos!$A$2:$A$1001,0)),""))</f>
        <v/>
      </c>
      <c r="H489" s="16" t="str">
        <f aca="false">IF(OR(A489="",G489=""),"",F489*G489)</f>
        <v/>
      </c>
    </row>
    <row r="490" customFormat="false" ht="15" hidden="false" customHeight="false" outlineLevel="0" collapsed="false">
      <c r="A490" s="11"/>
      <c r="B490" s="12" t="str">
        <f aca="false">IF(A490="","",IFERROR(INDEX(Productos!$D$2:$D$1001,MATCH(A490,Productos!$A$2:$A$1001,0))&amp;" — "&amp;INDEX(Productos!$E$2:$E$1001,MATCH(A490,Productos!$A$2:$A$1001,0)),"SKU no existe en Productos"))</f>
        <v/>
      </c>
      <c r="C490" s="11"/>
      <c r="D490" s="11"/>
      <c r="E490" s="11"/>
      <c r="F490" s="12" t="str">
        <f aca="false">IF(A490="","",SUM(C490:E490))</f>
        <v/>
      </c>
      <c r="G490" s="16" t="str">
        <f aca="false">IF(A490="","",IFERROR(INDEX(Productos!$K$2:$K$1001,MATCH(A490,Productos!$A$2:$A$1001,0)),""))</f>
        <v/>
      </c>
      <c r="H490" s="16" t="str">
        <f aca="false">IF(OR(A490="",G490=""),"",F490*G490)</f>
        <v/>
      </c>
    </row>
    <row r="491" customFormat="false" ht="15" hidden="false" customHeight="false" outlineLevel="0" collapsed="false">
      <c r="A491" s="11"/>
      <c r="B491" s="12" t="str">
        <f aca="false">IF(A491="","",IFERROR(INDEX(Productos!$D$2:$D$1001,MATCH(A491,Productos!$A$2:$A$1001,0))&amp;" — "&amp;INDEX(Productos!$E$2:$E$1001,MATCH(A491,Productos!$A$2:$A$1001,0)),"SKU no existe en Productos"))</f>
        <v/>
      </c>
      <c r="C491" s="11"/>
      <c r="D491" s="11"/>
      <c r="E491" s="11"/>
      <c r="F491" s="12" t="str">
        <f aca="false">IF(A491="","",SUM(C491:E491))</f>
        <v/>
      </c>
      <c r="G491" s="16" t="str">
        <f aca="false">IF(A491="","",IFERROR(INDEX(Productos!$K$2:$K$1001,MATCH(A491,Productos!$A$2:$A$1001,0)),""))</f>
        <v/>
      </c>
      <c r="H491" s="16" t="str">
        <f aca="false">IF(OR(A491="",G491=""),"",F491*G491)</f>
        <v/>
      </c>
    </row>
    <row r="492" customFormat="false" ht="15" hidden="false" customHeight="false" outlineLevel="0" collapsed="false">
      <c r="A492" s="11"/>
      <c r="B492" s="12" t="str">
        <f aca="false">IF(A492="","",IFERROR(INDEX(Productos!$D$2:$D$1001,MATCH(A492,Productos!$A$2:$A$1001,0))&amp;" — "&amp;INDEX(Productos!$E$2:$E$1001,MATCH(A492,Productos!$A$2:$A$1001,0)),"SKU no existe en Productos"))</f>
        <v/>
      </c>
      <c r="C492" s="11"/>
      <c r="D492" s="11"/>
      <c r="E492" s="11"/>
      <c r="F492" s="12" t="str">
        <f aca="false">IF(A492="","",SUM(C492:E492))</f>
        <v/>
      </c>
      <c r="G492" s="16" t="str">
        <f aca="false">IF(A492="","",IFERROR(INDEX(Productos!$K$2:$K$1001,MATCH(A492,Productos!$A$2:$A$1001,0)),""))</f>
        <v/>
      </c>
      <c r="H492" s="16" t="str">
        <f aca="false">IF(OR(A492="",G492=""),"",F492*G492)</f>
        <v/>
      </c>
    </row>
    <row r="493" customFormat="false" ht="15" hidden="false" customHeight="false" outlineLevel="0" collapsed="false">
      <c r="A493" s="11"/>
      <c r="B493" s="12" t="str">
        <f aca="false">IF(A493="","",IFERROR(INDEX(Productos!$D$2:$D$1001,MATCH(A493,Productos!$A$2:$A$1001,0))&amp;" — "&amp;INDEX(Productos!$E$2:$E$1001,MATCH(A493,Productos!$A$2:$A$1001,0)),"SKU no existe en Productos"))</f>
        <v/>
      </c>
      <c r="C493" s="11"/>
      <c r="D493" s="11"/>
      <c r="E493" s="11"/>
      <c r="F493" s="12" t="str">
        <f aca="false">IF(A493="","",SUM(C493:E493))</f>
        <v/>
      </c>
      <c r="G493" s="16" t="str">
        <f aca="false">IF(A493="","",IFERROR(INDEX(Productos!$K$2:$K$1001,MATCH(A493,Productos!$A$2:$A$1001,0)),""))</f>
        <v/>
      </c>
      <c r="H493" s="16" t="str">
        <f aca="false">IF(OR(A493="",G493=""),"",F493*G493)</f>
        <v/>
      </c>
    </row>
    <row r="494" customFormat="false" ht="15" hidden="false" customHeight="false" outlineLevel="0" collapsed="false">
      <c r="A494" s="11"/>
      <c r="B494" s="12" t="str">
        <f aca="false">IF(A494="","",IFERROR(INDEX(Productos!$D$2:$D$1001,MATCH(A494,Productos!$A$2:$A$1001,0))&amp;" — "&amp;INDEX(Productos!$E$2:$E$1001,MATCH(A494,Productos!$A$2:$A$1001,0)),"SKU no existe en Productos"))</f>
        <v/>
      </c>
      <c r="C494" s="11"/>
      <c r="D494" s="11"/>
      <c r="E494" s="11"/>
      <c r="F494" s="12" t="str">
        <f aca="false">IF(A494="","",SUM(C494:E494))</f>
        <v/>
      </c>
      <c r="G494" s="16" t="str">
        <f aca="false">IF(A494="","",IFERROR(INDEX(Productos!$K$2:$K$1001,MATCH(A494,Productos!$A$2:$A$1001,0)),""))</f>
        <v/>
      </c>
      <c r="H494" s="16" t="str">
        <f aca="false">IF(OR(A494="",G494=""),"",F494*G494)</f>
        <v/>
      </c>
    </row>
    <row r="495" customFormat="false" ht="15" hidden="false" customHeight="false" outlineLevel="0" collapsed="false">
      <c r="A495" s="11"/>
      <c r="B495" s="12" t="str">
        <f aca="false">IF(A495="","",IFERROR(INDEX(Productos!$D$2:$D$1001,MATCH(A495,Productos!$A$2:$A$1001,0))&amp;" — "&amp;INDEX(Productos!$E$2:$E$1001,MATCH(A495,Productos!$A$2:$A$1001,0)),"SKU no existe en Productos"))</f>
        <v/>
      </c>
      <c r="C495" s="11"/>
      <c r="D495" s="11"/>
      <c r="E495" s="11"/>
      <c r="F495" s="12" t="str">
        <f aca="false">IF(A495="","",SUM(C495:E495))</f>
        <v/>
      </c>
      <c r="G495" s="16" t="str">
        <f aca="false">IF(A495="","",IFERROR(INDEX(Productos!$K$2:$K$1001,MATCH(A495,Productos!$A$2:$A$1001,0)),""))</f>
        <v/>
      </c>
      <c r="H495" s="16" t="str">
        <f aca="false">IF(OR(A495="",G495=""),"",F495*G495)</f>
        <v/>
      </c>
    </row>
    <row r="496" customFormat="false" ht="15" hidden="false" customHeight="false" outlineLevel="0" collapsed="false">
      <c r="A496" s="11"/>
      <c r="B496" s="12" t="str">
        <f aca="false">IF(A496="","",IFERROR(INDEX(Productos!$D$2:$D$1001,MATCH(A496,Productos!$A$2:$A$1001,0))&amp;" — "&amp;INDEX(Productos!$E$2:$E$1001,MATCH(A496,Productos!$A$2:$A$1001,0)),"SKU no existe en Productos"))</f>
        <v/>
      </c>
      <c r="C496" s="11"/>
      <c r="D496" s="11"/>
      <c r="E496" s="11"/>
      <c r="F496" s="12" t="str">
        <f aca="false">IF(A496="","",SUM(C496:E496))</f>
        <v/>
      </c>
      <c r="G496" s="16" t="str">
        <f aca="false">IF(A496="","",IFERROR(INDEX(Productos!$K$2:$K$1001,MATCH(A496,Productos!$A$2:$A$1001,0)),""))</f>
        <v/>
      </c>
      <c r="H496" s="16" t="str">
        <f aca="false">IF(OR(A496="",G496=""),"",F496*G496)</f>
        <v/>
      </c>
    </row>
    <row r="497" customFormat="false" ht="15" hidden="false" customHeight="false" outlineLevel="0" collapsed="false">
      <c r="A497" s="11"/>
      <c r="B497" s="12" t="str">
        <f aca="false">IF(A497="","",IFERROR(INDEX(Productos!$D$2:$D$1001,MATCH(A497,Productos!$A$2:$A$1001,0))&amp;" — "&amp;INDEX(Productos!$E$2:$E$1001,MATCH(A497,Productos!$A$2:$A$1001,0)),"SKU no existe en Productos"))</f>
        <v/>
      </c>
      <c r="C497" s="11"/>
      <c r="D497" s="11"/>
      <c r="E497" s="11"/>
      <c r="F497" s="12" t="str">
        <f aca="false">IF(A497="","",SUM(C497:E497))</f>
        <v/>
      </c>
      <c r="G497" s="16" t="str">
        <f aca="false">IF(A497="","",IFERROR(INDEX(Productos!$K$2:$K$1001,MATCH(A497,Productos!$A$2:$A$1001,0)),""))</f>
        <v/>
      </c>
      <c r="H497" s="16" t="str">
        <f aca="false">IF(OR(A497="",G497=""),"",F497*G497)</f>
        <v/>
      </c>
    </row>
    <row r="498" customFormat="false" ht="15" hidden="false" customHeight="false" outlineLevel="0" collapsed="false">
      <c r="A498" s="11"/>
      <c r="B498" s="12" t="str">
        <f aca="false">IF(A498="","",IFERROR(INDEX(Productos!$D$2:$D$1001,MATCH(A498,Productos!$A$2:$A$1001,0))&amp;" — "&amp;INDEX(Productos!$E$2:$E$1001,MATCH(A498,Productos!$A$2:$A$1001,0)),"SKU no existe en Productos"))</f>
        <v/>
      </c>
      <c r="C498" s="11"/>
      <c r="D498" s="11"/>
      <c r="E498" s="11"/>
      <c r="F498" s="12" t="str">
        <f aca="false">IF(A498="","",SUM(C498:E498))</f>
        <v/>
      </c>
      <c r="G498" s="16" t="str">
        <f aca="false">IF(A498="","",IFERROR(INDEX(Productos!$K$2:$K$1001,MATCH(A498,Productos!$A$2:$A$1001,0)),""))</f>
        <v/>
      </c>
      <c r="H498" s="16" t="str">
        <f aca="false">IF(OR(A498="",G498=""),"",F498*G498)</f>
        <v/>
      </c>
    </row>
    <row r="499" customFormat="false" ht="15" hidden="false" customHeight="false" outlineLevel="0" collapsed="false">
      <c r="A499" s="11"/>
      <c r="B499" s="12" t="str">
        <f aca="false">IF(A499="","",IFERROR(INDEX(Productos!$D$2:$D$1001,MATCH(A499,Productos!$A$2:$A$1001,0))&amp;" — "&amp;INDEX(Productos!$E$2:$E$1001,MATCH(A499,Productos!$A$2:$A$1001,0)),"SKU no existe en Productos"))</f>
        <v/>
      </c>
      <c r="C499" s="11"/>
      <c r="D499" s="11"/>
      <c r="E499" s="11"/>
      <c r="F499" s="12" t="str">
        <f aca="false">IF(A499="","",SUM(C499:E499))</f>
        <v/>
      </c>
      <c r="G499" s="16" t="str">
        <f aca="false">IF(A499="","",IFERROR(INDEX(Productos!$K$2:$K$1001,MATCH(A499,Productos!$A$2:$A$1001,0)),""))</f>
        <v/>
      </c>
      <c r="H499" s="16" t="str">
        <f aca="false">IF(OR(A499="",G499=""),"",F499*G499)</f>
        <v/>
      </c>
    </row>
    <row r="500" customFormat="false" ht="15" hidden="false" customHeight="false" outlineLevel="0" collapsed="false">
      <c r="A500" s="11"/>
      <c r="B500" s="12" t="str">
        <f aca="false">IF(A500="","",IFERROR(INDEX(Productos!$D$2:$D$1001,MATCH(A500,Productos!$A$2:$A$1001,0))&amp;" — "&amp;INDEX(Productos!$E$2:$E$1001,MATCH(A500,Productos!$A$2:$A$1001,0)),"SKU no existe en Productos"))</f>
        <v/>
      </c>
      <c r="C500" s="11"/>
      <c r="D500" s="11"/>
      <c r="E500" s="11"/>
      <c r="F500" s="12" t="str">
        <f aca="false">IF(A500="","",SUM(C500:E500))</f>
        <v/>
      </c>
      <c r="G500" s="16" t="str">
        <f aca="false">IF(A500="","",IFERROR(INDEX(Productos!$K$2:$K$1001,MATCH(A500,Productos!$A$2:$A$1001,0)),""))</f>
        <v/>
      </c>
      <c r="H500" s="16" t="str">
        <f aca="false">IF(OR(A500="",G500=""),"",F500*G500)</f>
        <v/>
      </c>
    </row>
    <row r="501" customFormat="false" ht="15" hidden="false" customHeight="false" outlineLevel="0" collapsed="false">
      <c r="A501" s="11"/>
      <c r="B501" s="12" t="str">
        <f aca="false">IF(A501="","",IFERROR(INDEX(Productos!$D$2:$D$1001,MATCH(A501,Productos!$A$2:$A$1001,0))&amp;" — "&amp;INDEX(Productos!$E$2:$E$1001,MATCH(A501,Productos!$A$2:$A$1001,0)),"SKU no existe en Productos"))</f>
        <v/>
      </c>
      <c r="C501" s="11"/>
      <c r="D501" s="11"/>
      <c r="E501" s="11"/>
      <c r="F501" s="12" t="str">
        <f aca="false">IF(A501="","",SUM(C501:E501))</f>
        <v/>
      </c>
      <c r="G501" s="16" t="str">
        <f aca="false">IF(A501="","",IFERROR(INDEX(Productos!$K$2:$K$1001,MATCH(A501,Productos!$A$2:$A$1001,0)),""))</f>
        <v/>
      </c>
      <c r="H501" s="16" t="str">
        <f aca="false">IF(OR(A501="",G501=""),"",F501*G501)</f>
        <v/>
      </c>
    </row>
    <row r="502" customFormat="false" ht="15" hidden="false" customHeight="false" outlineLevel="0" collapsed="false">
      <c r="A502" s="11"/>
      <c r="B502" s="12" t="str">
        <f aca="false">IF(A502="","",IFERROR(INDEX(Productos!$D$2:$D$1001,MATCH(A502,Productos!$A$2:$A$1001,0))&amp;" — "&amp;INDEX(Productos!$E$2:$E$1001,MATCH(A502,Productos!$A$2:$A$1001,0)),"SKU no existe en Productos"))</f>
        <v/>
      </c>
      <c r="C502" s="11"/>
      <c r="D502" s="11"/>
      <c r="E502" s="11"/>
      <c r="F502" s="12" t="str">
        <f aca="false">IF(A502="","",SUM(C502:E502))</f>
        <v/>
      </c>
      <c r="G502" s="16" t="str">
        <f aca="false">IF(A502="","",IFERROR(INDEX(Productos!$K$2:$K$1001,MATCH(A502,Productos!$A$2:$A$1001,0)),""))</f>
        <v/>
      </c>
      <c r="H502" s="16" t="str">
        <f aca="false">IF(OR(A502="",G502=""),"",F502*G502)</f>
        <v/>
      </c>
    </row>
    <row r="503" customFormat="false" ht="15" hidden="false" customHeight="false" outlineLevel="0" collapsed="false">
      <c r="A503" s="11"/>
      <c r="B503" s="12" t="str">
        <f aca="false">IF(A503="","",IFERROR(INDEX(Productos!$D$2:$D$1001,MATCH(A503,Productos!$A$2:$A$1001,0))&amp;" — "&amp;INDEX(Productos!$E$2:$E$1001,MATCH(A503,Productos!$A$2:$A$1001,0)),"SKU no existe en Productos"))</f>
        <v/>
      </c>
      <c r="C503" s="11"/>
      <c r="D503" s="11"/>
      <c r="E503" s="11"/>
      <c r="F503" s="12" t="str">
        <f aca="false">IF(A503="","",SUM(C503:E503))</f>
        <v/>
      </c>
      <c r="G503" s="16" t="str">
        <f aca="false">IF(A503="","",IFERROR(INDEX(Productos!$K$2:$K$1001,MATCH(A503,Productos!$A$2:$A$1001,0)),""))</f>
        <v/>
      </c>
      <c r="H503" s="16" t="str">
        <f aca="false">IF(OR(A503="",G503=""),"",F503*G503)</f>
        <v/>
      </c>
    </row>
    <row r="504" customFormat="false" ht="15" hidden="false" customHeight="false" outlineLevel="0" collapsed="false">
      <c r="A504" s="11"/>
      <c r="B504" s="12" t="str">
        <f aca="false">IF(A504="","",IFERROR(INDEX(Productos!$D$2:$D$1001,MATCH(A504,Productos!$A$2:$A$1001,0))&amp;" — "&amp;INDEX(Productos!$E$2:$E$1001,MATCH(A504,Productos!$A$2:$A$1001,0)),"SKU no existe en Productos"))</f>
        <v/>
      </c>
      <c r="C504" s="11"/>
      <c r="D504" s="11"/>
      <c r="E504" s="11"/>
      <c r="F504" s="12" t="str">
        <f aca="false">IF(A504="","",SUM(C504:E504))</f>
        <v/>
      </c>
      <c r="G504" s="16" t="str">
        <f aca="false">IF(A504="","",IFERROR(INDEX(Productos!$K$2:$K$1001,MATCH(A504,Productos!$A$2:$A$1001,0)),""))</f>
        <v/>
      </c>
      <c r="H504" s="16" t="str">
        <f aca="false">IF(OR(A504="",G504=""),"",F504*G504)</f>
        <v/>
      </c>
    </row>
    <row r="505" customFormat="false" ht="15" hidden="false" customHeight="false" outlineLevel="0" collapsed="false">
      <c r="A505" s="11"/>
      <c r="B505" s="12" t="str">
        <f aca="false">IF(A505="","",IFERROR(INDEX(Productos!$D$2:$D$1001,MATCH(A505,Productos!$A$2:$A$1001,0))&amp;" — "&amp;INDEX(Productos!$E$2:$E$1001,MATCH(A505,Productos!$A$2:$A$1001,0)),"SKU no existe en Productos"))</f>
        <v/>
      </c>
      <c r="C505" s="11"/>
      <c r="D505" s="11"/>
      <c r="E505" s="11"/>
      <c r="F505" s="12" t="str">
        <f aca="false">IF(A505="","",SUM(C505:E505))</f>
        <v/>
      </c>
      <c r="G505" s="16" t="str">
        <f aca="false">IF(A505="","",IFERROR(INDEX(Productos!$K$2:$K$1001,MATCH(A505,Productos!$A$2:$A$1001,0)),""))</f>
        <v/>
      </c>
      <c r="H505" s="16" t="str">
        <f aca="false">IF(OR(A505="",G505=""),"",F505*G505)</f>
        <v/>
      </c>
    </row>
    <row r="506" customFormat="false" ht="15" hidden="false" customHeight="false" outlineLevel="0" collapsed="false">
      <c r="A506" s="11"/>
      <c r="B506" s="12" t="str">
        <f aca="false">IF(A506="","",IFERROR(INDEX(Productos!$D$2:$D$1001,MATCH(A506,Productos!$A$2:$A$1001,0))&amp;" — "&amp;INDEX(Productos!$E$2:$E$1001,MATCH(A506,Productos!$A$2:$A$1001,0)),"SKU no existe en Productos"))</f>
        <v/>
      </c>
      <c r="C506" s="11"/>
      <c r="D506" s="11"/>
      <c r="E506" s="11"/>
      <c r="F506" s="12" t="str">
        <f aca="false">IF(A506="","",SUM(C506:E506))</f>
        <v/>
      </c>
      <c r="G506" s="16" t="str">
        <f aca="false">IF(A506="","",IFERROR(INDEX(Productos!$K$2:$K$1001,MATCH(A506,Productos!$A$2:$A$1001,0)),""))</f>
        <v/>
      </c>
      <c r="H506" s="16" t="str">
        <f aca="false">IF(OR(A506="",G506=""),"",F506*G506)</f>
        <v/>
      </c>
    </row>
    <row r="507" customFormat="false" ht="15" hidden="false" customHeight="false" outlineLevel="0" collapsed="false">
      <c r="A507" s="11"/>
      <c r="B507" s="12" t="str">
        <f aca="false">IF(A507="","",IFERROR(INDEX(Productos!$D$2:$D$1001,MATCH(A507,Productos!$A$2:$A$1001,0))&amp;" — "&amp;INDEX(Productos!$E$2:$E$1001,MATCH(A507,Productos!$A$2:$A$1001,0)),"SKU no existe en Productos"))</f>
        <v/>
      </c>
      <c r="C507" s="11"/>
      <c r="D507" s="11"/>
      <c r="E507" s="11"/>
      <c r="F507" s="12" t="str">
        <f aca="false">IF(A507="","",SUM(C507:E507))</f>
        <v/>
      </c>
      <c r="G507" s="16" t="str">
        <f aca="false">IF(A507="","",IFERROR(INDEX(Productos!$K$2:$K$1001,MATCH(A507,Productos!$A$2:$A$1001,0)),""))</f>
        <v/>
      </c>
      <c r="H507" s="16" t="str">
        <f aca="false">IF(OR(A507="",G507=""),"",F507*G507)</f>
        <v/>
      </c>
    </row>
    <row r="508" customFormat="false" ht="15" hidden="false" customHeight="false" outlineLevel="0" collapsed="false">
      <c r="A508" s="11"/>
      <c r="B508" s="12" t="str">
        <f aca="false">IF(A508="","",IFERROR(INDEX(Productos!$D$2:$D$1001,MATCH(A508,Productos!$A$2:$A$1001,0))&amp;" — "&amp;INDEX(Productos!$E$2:$E$1001,MATCH(A508,Productos!$A$2:$A$1001,0)),"SKU no existe en Productos"))</f>
        <v/>
      </c>
      <c r="C508" s="11"/>
      <c r="D508" s="11"/>
      <c r="E508" s="11"/>
      <c r="F508" s="12" t="str">
        <f aca="false">IF(A508="","",SUM(C508:E508))</f>
        <v/>
      </c>
      <c r="G508" s="16" t="str">
        <f aca="false">IF(A508="","",IFERROR(INDEX(Productos!$K$2:$K$1001,MATCH(A508,Productos!$A$2:$A$1001,0)),""))</f>
        <v/>
      </c>
      <c r="H508" s="16" t="str">
        <f aca="false">IF(OR(A508="",G508=""),"",F508*G508)</f>
        <v/>
      </c>
    </row>
    <row r="509" customFormat="false" ht="15" hidden="false" customHeight="false" outlineLevel="0" collapsed="false">
      <c r="A509" s="11"/>
      <c r="B509" s="12" t="str">
        <f aca="false">IF(A509="","",IFERROR(INDEX(Productos!$D$2:$D$1001,MATCH(A509,Productos!$A$2:$A$1001,0))&amp;" — "&amp;INDEX(Productos!$E$2:$E$1001,MATCH(A509,Productos!$A$2:$A$1001,0)),"SKU no existe en Productos"))</f>
        <v/>
      </c>
      <c r="C509" s="11"/>
      <c r="D509" s="11"/>
      <c r="E509" s="11"/>
      <c r="F509" s="12" t="str">
        <f aca="false">IF(A509="","",SUM(C509:E509))</f>
        <v/>
      </c>
      <c r="G509" s="16" t="str">
        <f aca="false">IF(A509="","",IFERROR(INDEX(Productos!$K$2:$K$1001,MATCH(A509,Productos!$A$2:$A$1001,0)),""))</f>
        <v/>
      </c>
      <c r="H509" s="16" t="str">
        <f aca="false">IF(OR(A509="",G509=""),"",F509*G509)</f>
        <v/>
      </c>
    </row>
    <row r="510" customFormat="false" ht="15" hidden="false" customHeight="false" outlineLevel="0" collapsed="false">
      <c r="A510" s="11"/>
      <c r="B510" s="12" t="str">
        <f aca="false">IF(A510="","",IFERROR(INDEX(Productos!$D$2:$D$1001,MATCH(A510,Productos!$A$2:$A$1001,0))&amp;" — "&amp;INDEX(Productos!$E$2:$E$1001,MATCH(A510,Productos!$A$2:$A$1001,0)),"SKU no existe en Productos"))</f>
        <v/>
      </c>
      <c r="C510" s="11"/>
      <c r="D510" s="11"/>
      <c r="E510" s="11"/>
      <c r="F510" s="12" t="str">
        <f aca="false">IF(A510="","",SUM(C510:E510))</f>
        <v/>
      </c>
      <c r="G510" s="16" t="str">
        <f aca="false">IF(A510="","",IFERROR(INDEX(Productos!$K$2:$K$1001,MATCH(A510,Productos!$A$2:$A$1001,0)),""))</f>
        <v/>
      </c>
      <c r="H510" s="16" t="str">
        <f aca="false">IF(OR(A510="",G510=""),"",F510*G510)</f>
        <v/>
      </c>
    </row>
    <row r="511" customFormat="false" ht="15" hidden="false" customHeight="false" outlineLevel="0" collapsed="false">
      <c r="A511" s="11"/>
      <c r="B511" s="12" t="str">
        <f aca="false">IF(A511="","",IFERROR(INDEX(Productos!$D$2:$D$1001,MATCH(A511,Productos!$A$2:$A$1001,0))&amp;" — "&amp;INDEX(Productos!$E$2:$E$1001,MATCH(A511,Productos!$A$2:$A$1001,0)),"SKU no existe en Productos"))</f>
        <v/>
      </c>
      <c r="C511" s="11"/>
      <c r="D511" s="11"/>
      <c r="E511" s="11"/>
      <c r="F511" s="12" t="str">
        <f aca="false">IF(A511="","",SUM(C511:E511))</f>
        <v/>
      </c>
      <c r="G511" s="16" t="str">
        <f aca="false">IF(A511="","",IFERROR(INDEX(Productos!$K$2:$K$1001,MATCH(A511,Productos!$A$2:$A$1001,0)),""))</f>
        <v/>
      </c>
      <c r="H511" s="16" t="str">
        <f aca="false">IF(OR(A511="",G511=""),"",F511*G511)</f>
        <v/>
      </c>
    </row>
    <row r="512" customFormat="false" ht="15" hidden="false" customHeight="false" outlineLevel="0" collapsed="false">
      <c r="A512" s="11"/>
      <c r="B512" s="12" t="str">
        <f aca="false">IF(A512="","",IFERROR(INDEX(Productos!$D$2:$D$1001,MATCH(A512,Productos!$A$2:$A$1001,0))&amp;" — "&amp;INDEX(Productos!$E$2:$E$1001,MATCH(A512,Productos!$A$2:$A$1001,0)),"SKU no existe en Productos"))</f>
        <v/>
      </c>
      <c r="C512" s="11"/>
      <c r="D512" s="11"/>
      <c r="E512" s="11"/>
      <c r="F512" s="12" t="str">
        <f aca="false">IF(A512="","",SUM(C512:E512))</f>
        <v/>
      </c>
      <c r="G512" s="16" t="str">
        <f aca="false">IF(A512="","",IFERROR(INDEX(Productos!$K$2:$K$1001,MATCH(A512,Productos!$A$2:$A$1001,0)),""))</f>
        <v/>
      </c>
      <c r="H512" s="16" t="str">
        <f aca="false">IF(OR(A512="",G512=""),"",F512*G512)</f>
        <v/>
      </c>
    </row>
    <row r="513" customFormat="false" ht="15" hidden="false" customHeight="false" outlineLevel="0" collapsed="false">
      <c r="A513" s="11"/>
      <c r="B513" s="12" t="str">
        <f aca="false">IF(A513="","",IFERROR(INDEX(Productos!$D$2:$D$1001,MATCH(A513,Productos!$A$2:$A$1001,0))&amp;" — "&amp;INDEX(Productos!$E$2:$E$1001,MATCH(A513,Productos!$A$2:$A$1001,0)),"SKU no existe en Productos"))</f>
        <v/>
      </c>
      <c r="C513" s="11"/>
      <c r="D513" s="11"/>
      <c r="E513" s="11"/>
      <c r="F513" s="12" t="str">
        <f aca="false">IF(A513="","",SUM(C513:E513))</f>
        <v/>
      </c>
      <c r="G513" s="16" t="str">
        <f aca="false">IF(A513="","",IFERROR(INDEX(Productos!$K$2:$K$1001,MATCH(A513,Productos!$A$2:$A$1001,0)),""))</f>
        <v/>
      </c>
      <c r="H513" s="16" t="str">
        <f aca="false">IF(OR(A513="",G513=""),"",F513*G513)</f>
        <v/>
      </c>
    </row>
    <row r="514" customFormat="false" ht="15" hidden="false" customHeight="false" outlineLevel="0" collapsed="false">
      <c r="A514" s="11"/>
      <c r="B514" s="12" t="str">
        <f aca="false">IF(A514="","",IFERROR(INDEX(Productos!$D$2:$D$1001,MATCH(A514,Productos!$A$2:$A$1001,0))&amp;" — "&amp;INDEX(Productos!$E$2:$E$1001,MATCH(A514,Productos!$A$2:$A$1001,0)),"SKU no existe en Productos"))</f>
        <v/>
      </c>
      <c r="C514" s="11"/>
      <c r="D514" s="11"/>
      <c r="E514" s="11"/>
      <c r="F514" s="12" t="str">
        <f aca="false">IF(A514="","",SUM(C514:E514))</f>
        <v/>
      </c>
      <c r="G514" s="16" t="str">
        <f aca="false">IF(A514="","",IFERROR(INDEX(Productos!$K$2:$K$1001,MATCH(A514,Productos!$A$2:$A$1001,0)),""))</f>
        <v/>
      </c>
      <c r="H514" s="16" t="str">
        <f aca="false">IF(OR(A514="",G514=""),"",F514*G514)</f>
        <v/>
      </c>
    </row>
    <row r="515" customFormat="false" ht="15" hidden="false" customHeight="false" outlineLevel="0" collapsed="false">
      <c r="A515" s="11"/>
      <c r="B515" s="12" t="str">
        <f aca="false">IF(A515="","",IFERROR(INDEX(Productos!$D$2:$D$1001,MATCH(A515,Productos!$A$2:$A$1001,0))&amp;" — "&amp;INDEX(Productos!$E$2:$E$1001,MATCH(A515,Productos!$A$2:$A$1001,0)),"SKU no existe en Productos"))</f>
        <v/>
      </c>
      <c r="C515" s="11"/>
      <c r="D515" s="11"/>
      <c r="E515" s="11"/>
      <c r="F515" s="12" t="str">
        <f aca="false">IF(A515="","",SUM(C515:E515))</f>
        <v/>
      </c>
      <c r="G515" s="16" t="str">
        <f aca="false">IF(A515="","",IFERROR(INDEX(Productos!$K$2:$K$1001,MATCH(A515,Productos!$A$2:$A$1001,0)),""))</f>
        <v/>
      </c>
      <c r="H515" s="16" t="str">
        <f aca="false">IF(OR(A515="",G515=""),"",F515*G515)</f>
        <v/>
      </c>
    </row>
    <row r="516" customFormat="false" ht="15" hidden="false" customHeight="false" outlineLevel="0" collapsed="false">
      <c r="A516" s="11"/>
      <c r="B516" s="12" t="str">
        <f aca="false">IF(A516="","",IFERROR(INDEX(Productos!$D$2:$D$1001,MATCH(A516,Productos!$A$2:$A$1001,0))&amp;" — "&amp;INDEX(Productos!$E$2:$E$1001,MATCH(A516,Productos!$A$2:$A$1001,0)),"SKU no existe en Productos"))</f>
        <v/>
      </c>
      <c r="C516" s="11"/>
      <c r="D516" s="11"/>
      <c r="E516" s="11"/>
      <c r="F516" s="12" t="str">
        <f aca="false">IF(A516="","",SUM(C516:E516))</f>
        <v/>
      </c>
      <c r="G516" s="16" t="str">
        <f aca="false">IF(A516="","",IFERROR(INDEX(Productos!$K$2:$K$1001,MATCH(A516,Productos!$A$2:$A$1001,0)),""))</f>
        <v/>
      </c>
      <c r="H516" s="16" t="str">
        <f aca="false">IF(OR(A516="",G516=""),"",F516*G516)</f>
        <v/>
      </c>
    </row>
    <row r="517" customFormat="false" ht="15" hidden="false" customHeight="false" outlineLevel="0" collapsed="false">
      <c r="A517" s="11"/>
      <c r="B517" s="12" t="str">
        <f aca="false">IF(A517="","",IFERROR(INDEX(Productos!$D$2:$D$1001,MATCH(A517,Productos!$A$2:$A$1001,0))&amp;" — "&amp;INDEX(Productos!$E$2:$E$1001,MATCH(A517,Productos!$A$2:$A$1001,0)),"SKU no existe en Productos"))</f>
        <v/>
      </c>
      <c r="C517" s="11"/>
      <c r="D517" s="11"/>
      <c r="E517" s="11"/>
      <c r="F517" s="12" t="str">
        <f aca="false">IF(A517="","",SUM(C517:E517))</f>
        <v/>
      </c>
      <c r="G517" s="16" t="str">
        <f aca="false">IF(A517="","",IFERROR(INDEX(Productos!$K$2:$K$1001,MATCH(A517,Productos!$A$2:$A$1001,0)),""))</f>
        <v/>
      </c>
      <c r="H517" s="16" t="str">
        <f aca="false">IF(OR(A517="",G517=""),"",F517*G517)</f>
        <v/>
      </c>
    </row>
    <row r="518" customFormat="false" ht="15" hidden="false" customHeight="false" outlineLevel="0" collapsed="false">
      <c r="A518" s="11"/>
      <c r="B518" s="12" t="str">
        <f aca="false">IF(A518="","",IFERROR(INDEX(Productos!$D$2:$D$1001,MATCH(A518,Productos!$A$2:$A$1001,0))&amp;" — "&amp;INDEX(Productos!$E$2:$E$1001,MATCH(A518,Productos!$A$2:$A$1001,0)),"SKU no existe en Productos"))</f>
        <v/>
      </c>
      <c r="C518" s="11"/>
      <c r="D518" s="11"/>
      <c r="E518" s="11"/>
      <c r="F518" s="12" t="str">
        <f aca="false">IF(A518="","",SUM(C518:E518))</f>
        <v/>
      </c>
      <c r="G518" s="16" t="str">
        <f aca="false">IF(A518="","",IFERROR(INDEX(Productos!$K$2:$K$1001,MATCH(A518,Productos!$A$2:$A$1001,0)),""))</f>
        <v/>
      </c>
      <c r="H518" s="16" t="str">
        <f aca="false">IF(OR(A518="",G518=""),"",F518*G518)</f>
        <v/>
      </c>
    </row>
    <row r="519" customFormat="false" ht="15" hidden="false" customHeight="false" outlineLevel="0" collapsed="false">
      <c r="A519" s="11"/>
      <c r="B519" s="12" t="str">
        <f aca="false">IF(A519="","",IFERROR(INDEX(Productos!$D$2:$D$1001,MATCH(A519,Productos!$A$2:$A$1001,0))&amp;" — "&amp;INDEX(Productos!$E$2:$E$1001,MATCH(A519,Productos!$A$2:$A$1001,0)),"SKU no existe en Productos"))</f>
        <v/>
      </c>
      <c r="C519" s="11"/>
      <c r="D519" s="11"/>
      <c r="E519" s="11"/>
      <c r="F519" s="12" t="str">
        <f aca="false">IF(A519="","",SUM(C519:E519))</f>
        <v/>
      </c>
      <c r="G519" s="16" t="str">
        <f aca="false">IF(A519="","",IFERROR(INDEX(Productos!$K$2:$K$1001,MATCH(A519,Productos!$A$2:$A$1001,0)),""))</f>
        <v/>
      </c>
      <c r="H519" s="16" t="str">
        <f aca="false">IF(OR(A519="",G519=""),"",F519*G519)</f>
        <v/>
      </c>
    </row>
    <row r="520" customFormat="false" ht="15" hidden="false" customHeight="false" outlineLevel="0" collapsed="false">
      <c r="A520" s="11"/>
      <c r="B520" s="12" t="str">
        <f aca="false">IF(A520="","",IFERROR(INDEX(Productos!$D$2:$D$1001,MATCH(A520,Productos!$A$2:$A$1001,0))&amp;" — "&amp;INDEX(Productos!$E$2:$E$1001,MATCH(A520,Productos!$A$2:$A$1001,0)),"SKU no existe en Productos"))</f>
        <v/>
      </c>
      <c r="C520" s="11"/>
      <c r="D520" s="11"/>
      <c r="E520" s="11"/>
      <c r="F520" s="12" t="str">
        <f aca="false">IF(A520="","",SUM(C520:E520))</f>
        <v/>
      </c>
      <c r="G520" s="16" t="str">
        <f aca="false">IF(A520="","",IFERROR(INDEX(Productos!$K$2:$K$1001,MATCH(A520,Productos!$A$2:$A$1001,0)),""))</f>
        <v/>
      </c>
      <c r="H520" s="16" t="str">
        <f aca="false">IF(OR(A520="",G520=""),"",F520*G520)</f>
        <v/>
      </c>
    </row>
    <row r="521" customFormat="false" ht="15" hidden="false" customHeight="false" outlineLevel="0" collapsed="false">
      <c r="A521" s="11"/>
      <c r="B521" s="12" t="str">
        <f aca="false">IF(A521="","",IFERROR(INDEX(Productos!$D$2:$D$1001,MATCH(A521,Productos!$A$2:$A$1001,0))&amp;" — "&amp;INDEX(Productos!$E$2:$E$1001,MATCH(A521,Productos!$A$2:$A$1001,0)),"SKU no existe en Productos"))</f>
        <v/>
      </c>
      <c r="C521" s="11"/>
      <c r="D521" s="11"/>
      <c r="E521" s="11"/>
      <c r="F521" s="12" t="str">
        <f aca="false">IF(A521="","",SUM(C521:E521))</f>
        <v/>
      </c>
      <c r="G521" s="16" t="str">
        <f aca="false">IF(A521="","",IFERROR(INDEX(Productos!$K$2:$K$1001,MATCH(A521,Productos!$A$2:$A$1001,0)),""))</f>
        <v/>
      </c>
      <c r="H521" s="16" t="str">
        <f aca="false">IF(OR(A521="",G521=""),"",F521*G521)</f>
        <v/>
      </c>
    </row>
    <row r="522" customFormat="false" ht="15" hidden="false" customHeight="false" outlineLevel="0" collapsed="false">
      <c r="A522" s="11"/>
      <c r="B522" s="12" t="str">
        <f aca="false">IF(A522="","",IFERROR(INDEX(Productos!$D$2:$D$1001,MATCH(A522,Productos!$A$2:$A$1001,0))&amp;" — "&amp;INDEX(Productos!$E$2:$E$1001,MATCH(A522,Productos!$A$2:$A$1001,0)),"SKU no existe en Productos"))</f>
        <v/>
      </c>
      <c r="C522" s="11"/>
      <c r="D522" s="11"/>
      <c r="E522" s="11"/>
      <c r="F522" s="12" t="str">
        <f aca="false">IF(A522="","",SUM(C522:E522))</f>
        <v/>
      </c>
      <c r="G522" s="16" t="str">
        <f aca="false">IF(A522="","",IFERROR(INDEX(Productos!$K$2:$K$1001,MATCH(A522,Productos!$A$2:$A$1001,0)),""))</f>
        <v/>
      </c>
      <c r="H522" s="16" t="str">
        <f aca="false">IF(OR(A522="",G522=""),"",F522*G522)</f>
        <v/>
      </c>
    </row>
    <row r="523" customFormat="false" ht="15" hidden="false" customHeight="false" outlineLevel="0" collapsed="false">
      <c r="A523" s="11"/>
      <c r="B523" s="12" t="str">
        <f aca="false">IF(A523="","",IFERROR(INDEX(Productos!$D$2:$D$1001,MATCH(A523,Productos!$A$2:$A$1001,0))&amp;" — "&amp;INDEX(Productos!$E$2:$E$1001,MATCH(A523,Productos!$A$2:$A$1001,0)),"SKU no existe en Productos"))</f>
        <v/>
      </c>
      <c r="C523" s="11"/>
      <c r="D523" s="11"/>
      <c r="E523" s="11"/>
      <c r="F523" s="12" t="str">
        <f aca="false">IF(A523="","",SUM(C523:E523))</f>
        <v/>
      </c>
      <c r="G523" s="16" t="str">
        <f aca="false">IF(A523="","",IFERROR(INDEX(Productos!$K$2:$K$1001,MATCH(A523,Productos!$A$2:$A$1001,0)),""))</f>
        <v/>
      </c>
      <c r="H523" s="16" t="str">
        <f aca="false">IF(OR(A523="",G523=""),"",F523*G523)</f>
        <v/>
      </c>
    </row>
    <row r="524" customFormat="false" ht="15" hidden="false" customHeight="false" outlineLevel="0" collapsed="false">
      <c r="A524" s="11"/>
      <c r="B524" s="12" t="str">
        <f aca="false">IF(A524="","",IFERROR(INDEX(Productos!$D$2:$D$1001,MATCH(A524,Productos!$A$2:$A$1001,0))&amp;" — "&amp;INDEX(Productos!$E$2:$E$1001,MATCH(A524,Productos!$A$2:$A$1001,0)),"SKU no existe en Productos"))</f>
        <v/>
      </c>
      <c r="C524" s="11"/>
      <c r="D524" s="11"/>
      <c r="E524" s="11"/>
      <c r="F524" s="12" t="str">
        <f aca="false">IF(A524="","",SUM(C524:E524))</f>
        <v/>
      </c>
      <c r="G524" s="16" t="str">
        <f aca="false">IF(A524="","",IFERROR(INDEX(Productos!$K$2:$K$1001,MATCH(A524,Productos!$A$2:$A$1001,0)),""))</f>
        <v/>
      </c>
      <c r="H524" s="16" t="str">
        <f aca="false">IF(OR(A524="",G524=""),"",F524*G524)</f>
        <v/>
      </c>
    </row>
    <row r="525" customFormat="false" ht="15" hidden="false" customHeight="false" outlineLevel="0" collapsed="false">
      <c r="A525" s="11"/>
      <c r="B525" s="12" t="str">
        <f aca="false">IF(A525="","",IFERROR(INDEX(Productos!$D$2:$D$1001,MATCH(A525,Productos!$A$2:$A$1001,0))&amp;" — "&amp;INDEX(Productos!$E$2:$E$1001,MATCH(A525,Productos!$A$2:$A$1001,0)),"SKU no existe en Productos"))</f>
        <v/>
      </c>
      <c r="C525" s="11"/>
      <c r="D525" s="11"/>
      <c r="E525" s="11"/>
      <c r="F525" s="12" t="str">
        <f aca="false">IF(A525="","",SUM(C525:E525))</f>
        <v/>
      </c>
      <c r="G525" s="16" t="str">
        <f aca="false">IF(A525="","",IFERROR(INDEX(Productos!$K$2:$K$1001,MATCH(A525,Productos!$A$2:$A$1001,0)),""))</f>
        <v/>
      </c>
      <c r="H525" s="16" t="str">
        <f aca="false">IF(OR(A525="",G525=""),"",F525*G525)</f>
        <v/>
      </c>
    </row>
    <row r="526" customFormat="false" ht="15" hidden="false" customHeight="false" outlineLevel="0" collapsed="false">
      <c r="A526" s="11"/>
      <c r="B526" s="12" t="str">
        <f aca="false">IF(A526="","",IFERROR(INDEX(Productos!$D$2:$D$1001,MATCH(A526,Productos!$A$2:$A$1001,0))&amp;" — "&amp;INDEX(Productos!$E$2:$E$1001,MATCH(A526,Productos!$A$2:$A$1001,0)),"SKU no existe en Productos"))</f>
        <v/>
      </c>
      <c r="C526" s="11"/>
      <c r="D526" s="11"/>
      <c r="E526" s="11"/>
      <c r="F526" s="12" t="str">
        <f aca="false">IF(A526="","",SUM(C526:E526))</f>
        <v/>
      </c>
      <c r="G526" s="16" t="str">
        <f aca="false">IF(A526="","",IFERROR(INDEX(Productos!$K$2:$K$1001,MATCH(A526,Productos!$A$2:$A$1001,0)),""))</f>
        <v/>
      </c>
      <c r="H526" s="16" t="str">
        <f aca="false">IF(OR(A526="",G526=""),"",F526*G526)</f>
        <v/>
      </c>
    </row>
    <row r="527" customFormat="false" ht="15" hidden="false" customHeight="false" outlineLevel="0" collapsed="false">
      <c r="A527" s="11"/>
      <c r="B527" s="12" t="str">
        <f aca="false">IF(A527="","",IFERROR(INDEX(Productos!$D$2:$D$1001,MATCH(A527,Productos!$A$2:$A$1001,0))&amp;" — "&amp;INDEX(Productos!$E$2:$E$1001,MATCH(A527,Productos!$A$2:$A$1001,0)),"SKU no existe en Productos"))</f>
        <v/>
      </c>
      <c r="C527" s="11"/>
      <c r="D527" s="11"/>
      <c r="E527" s="11"/>
      <c r="F527" s="12" t="str">
        <f aca="false">IF(A527="","",SUM(C527:E527))</f>
        <v/>
      </c>
      <c r="G527" s="16" t="str">
        <f aca="false">IF(A527="","",IFERROR(INDEX(Productos!$K$2:$K$1001,MATCH(A527,Productos!$A$2:$A$1001,0)),""))</f>
        <v/>
      </c>
      <c r="H527" s="16" t="str">
        <f aca="false">IF(OR(A527="",G527=""),"",F527*G527)</f>
        <v/>
      </c>
    </row>
    <row r="528" customFormat="false" ht="15" hidden="false" customHeight="false" outlineLevel="0" collapsed="false">
      <c r="A528" s="11"/>
      <c r="B528" s="12" t="str">
        <f aca="false">IF(A528="","",IFERROR(INDEX(Productos!$D$2:$D$1001,MATCH(A528,Productos!$A$2:$A$1001,0))&amp;" — "&amp;INDEX(Productos!$E$2:$E$1001,MATCH(A528,Productos!$A$2:$A$1001,0)),"SKU no existe en Productos"))</f>
        <v/>
      </c>
      <c r="C528" s="11"/>
      <c r="D528" s="11"/>
      <c r="E528" s="11"/>
      <c r="F528" s="12" t="str">
        <f aca="false">IF(A528="","",SUM(C528:E528))</f>
        <v/>
      </c>
      <c r="G528" s="16" t="str">
        <f aca="false">IF(A528="","",IFERROR(INDEX(Productos!$K$2:$K$1001,MATCH(A528,Productos!$A$2:$A$1001,0)),""))</f>
        <v/>
      </c>
      <c r="H528" s="16" t="str">
        <f aca="false">IF(OR(A528="",G528=""),"",F528*G528)</f>
        <v/>
      </c>
    </row>
    <row r="529" customFormat="false" ht="15" hidden="false" customHeight="false" outlineLevel="0" collapsed="false">
      <c r="A529" s="11"/>
      <c r="B529" s="12" t="str">
        <f aca="false">IF(A529="","",IFERROR(INDEX(Productos!$D$2:$D$1001,MATCH(A529,Productos!$A$2:$A$1001,0))&amp;" — "&amp;INDEX(Productos!$E$2:$E$1001,MATCH(A529,Productos!$A$2:$A$1001,0)),"SKU no existe en Productos"))</f>
        <v/>
      </c>
      <c r="C529" s="11"/>
      <c r="D529" s="11"/>
      <c r="E529" s="11"/>
      <c r="F529" s="12" t="str">
        <f aca="false">IF(A529="","",SUM(C529:E529))</f>
        <v/>
      </c>
      <c r="G529" s="16" t="str">
        <f aca="false">IF(A529="","",IFERROR(INDEX(Productos!$K$2:$K$1001,MATCH(A529,Productos!$A$2:$A$1001,0)),""))</f>
        <v/>
      </c>
      <c r="H529" s="16" t="str">
        <f aca="false">IF(OR(A529="",G529=""),"",F529*G529)</f>
        <v/>
      </c>
    </row>
    <row r="530" customFormat="false" ht="15" hidden="false" customHeight="false" outlineLevel="0" collapsed="false">
      <c r="A530" s="11"/>
      <c r="B530" s="12" t="str">
        <f aca="false">IF(A530="","",IFERROR(INDEX(Productos!$D$2:$D$1001,MATCH(A530,Productos!$A$2:$A$1001,0))&amp;" — "&amp;INDEX(Productos!$E$2:$E$1001,MATCH(A530,Productos!$A$2:$A$1001,0)),"SKU no existe en Productos"))</f>
        <v/>
      </c>
      <c r="C530" s="11"/>
      <c r="D530" s="11"/>
      <c r="E530" s="11"/>
      <c r="F530" s="12" t="str">
        <f aca="false">IF(A530="","",SUM(C530:E530))</f>
        <v/>
      </c>
      <c r="G530" s="16" t="str">
        <f aca="false">IF(A530="","",IFERROR(INDEX(Productos!$K$2:$K$1001,MATCH(A530,Productos!$A$2:$A$1001,0)),""))</f>
        <v/>
      </c>
      <c r="H530" s="16" t="str">
        <f aca="false">IF(OR(A530="",G530=""),"",F530*G530)</f>
        <v/>
      </c>
    </row>
    <row r="531" customFormat="false" ht="15" hidden="false" customHeight="false" outlineLevel="0" collapsed="false">
      <c r="A531" s="11"/>
      <c r="B531" s="12" t="str">
        <f aca="false">IF(A531="","",IFERROR(INDEX(Productos!$D$2:$D$1001,MATCH(A531,Productos!$A$2:$A$1001,0))&amp;" — "&amp;INDEX(Productos!$E$2:$E$1001,MATCH(A531,Productos!$A$2:$A$1001,0)),"SKU no existe en Productos"))</f>
        <v/>
      </c>
      <c r="C531" s="11"/>
      <c r="D531" s="11"/>
      <c r="E531" s="11"/>
      <c r="F531" s="12" t="str">
        <f aca="false">IF(A531="","",SUM(C531:E531))</f>
        <v/>
      </c>
      <c r="G531" s="16" t="str">
        <f aca="false">IF(A531="","",IFERROR(INDEX(Productos!$K$2:$K$1001,MATCH(A531,Productos!$A$2:$A$1001,0)),""))</f>
        <v/>
      </c>
      <c r="H531" s="16" t="str">
        <f aca="false">IF(OR(A531="",G531=""),"",F531*G531)</f>
        <v/>
      </c>
    </row>
    <row r="532" customFormat="false" ht="15" hidden="false" customHeight="false" outlineLevel="0" collapsed="false">
      <c r="A532" s="11"/>
      <c r="B532" s="12" t="str">
        <f aca="false">IF(A532="","",IFERROR(INDEX(Productos!$D$2:$D$1001,MATCH(A532,Productos!$A$2:$A$1001,0))&amp;" — "&amp;INDEX(Productos!$E$2:$E$1001,MATCH(A532,Productos!$A$2:$A$1001,0)),"SKU no existe en Productos"))</f>
        <v/>
      </c>
      <c r="C532" s="11"/>
      <c r="D532" s="11"/>
      <c r="E532" s="11"/>
      <c r="F532" s="12" t="str">
        <f aca="false">IF(A532="","",SUM(C532:E532))</f>
        <v/>
      </c>
      <c r="G532" s="16" t="str">
        <f aca="false">IF(A532="","",IFERROR(INDEX(Productos!$K$2:$K$1001,MATCH(A532,Productos!$A$2:$A$1001,0)),""))</f>
        <v/>
      </c>
      <c r="H532" s="16" t="str">
        <f aca="false">IF(OR(A532="",G532=""),"",F532*G532)</f>
        <v/>
      </c>
    </row>
    <row r="533" customFormat="false" ht="15" hidden="false" customHeight="false" outlineLevel="0" collapsed="false">
      <c r="A533" s="11"/>
      <c r="B533" s="12" t="str">
        <f aca="false">IF(A533="","",IFERROR(INDEX(Productos!$D$2:$D$1001,MATCH(A533,Productos!$A$2:$A$1001,0))&amp;" — "&amp;INDEX(Productos!$E$2:$E$1001,MATCH(A533,Productos!$A$2:$A$1001,0)),"SKU no existe en Productos"))</f>
        <v/>
      </c>
      <c r="C533" s="11"/>
      <c r="D533" s="11"/>
      <c r="E533" s="11"/>
      <c r="F533" s="12" t="str">
        <f aca="false">IF(A533="","",SUM(C533:E533))</f>
        <v/>
      </c>
      <c r="G533" s="16" t="str">
        <f aca="false">IF(A533="","",IFERROR(INDEX(Productos!$K$2:$K$1001,MATCH(A533,Productos!$A$2:$A$1001,0)),""))</f>
        <v/>
      </c>
      <c r="H533" s="16" t="str">
        <f aca="false">IF(OR(A533="",G533=""),"",F533*G533)</f>
        <v/>
      </c>
    </row>
    <row r="534" customFormat="false" ht="15" hidden="false" customHeight="false" outlineLevel="0" collapsed="false">
      <c r="A534" s="11"/>
      <c r="B534" s="12" t="str">
        <f aca="false">IF(A534="","",IFERROR(INDEX(Productos!$D$2:$D$1001,MATCH(A534,Productos!$A$2:$A$1001,0))&amp;" — "&amp;INDEX(Productos!$E$2:$E$1001,MATCH(A534,Productos!$A$2:$A$1001,0)),"SKU no existe en Productos"))</f>
        <v/>
      </c>
      <c r="C534" s="11"/>
      <c r="D534" s="11"/>
      <c r="E534" s="11"/>
      <c r="F534" s="12" t="str">
        <f aca="false">IF(A534="","",SUM(C534:E534))</f>
        <v/>
      </c>
      <c r="G534" s="16" t="str">
        <f aca="false">IF(A534="","",IFERROR(INDEX(Productos!$K$2:$K$1001,MATCH(A534,Productos!$A$2:$A$1001,0)),""))</f>
        <v/>
      </c>
      <c r="H534" s="16" t="str">
        <f aca="false">IF(OR(A534="",G534=""),"",F534*G534)</f>
        <v/>
      </c>
    </row>
    <row r="535" customFormat="false" ht="15" hidden="false" customHeight="false" outlineLevel="0" collapsed="false">
      <c r="A535" s="11"/>
      <c r="B535" s="12" t="str">
        <f aca="false">IF(A535="","",IFERROR(INDEX(Productos!$D$2:$D$1001,MATCH(A535,Productos!$A$2:$A$1001,0))&amp;" — "&amp;INDEX(Productos!$E$2:$E$1001,MATCH(A535,Productos!$A$2:$A$1001,0)),"SKU no existe en Productos"))</f>
        <v/>
      </c>
      <c r="C535" s="11"/>
      <c r="D535" s="11"/>
      <c r="E535" s="11"/>
      <c r="F535" s="12" t="str">
        <f aca="false">IF(A535="","",SUM(C535:E535))</f>
        <v/>
      </c>
      <c r="G535" s="16" t="str">
        <f aca="false">IF(A535="","",IFERROR(INDEX(Productos!$K$2:$K$1001,MATCH(A535,Productos!$A$2:$A$1001,0)),""))</f>
        <v/>
      </c>
      <c r="H535" s="16" t="str">
        <f aca="false">IF(OR(A535="",G535=""),"",F535*G535)</f>
        <v/>
      </c>
    </row>
    <row r="536" customFormat="false" ht="15" hidden="false" customHeight="false" outlineLevel="0" collapsed="false">
      <c r="A536" s="11"/>
      <c r="B536" s="12" t="str">
        <f aca="false">IF(A536="","",IFERROR(INDEX(Productos!$D$2:$D$1001,MATCH(A536,Productos!$A$2:$A$1001,0))&amp;" — "&amp;INDEX(Productos!$E$2:$E$1001,MATCH(A536,Productos!$A$2:$A$1001,0)),"SKU no existe en Productos"))</f>
        <v/>
      </c>
      <c r="C536" s="11"/>
      <c r="D536" s="11"/>
      <c r="E536" s="11"/>
      <c r="F536" s="12" t="str">
        <f aca="false">IF(A536="","",SUM(C536:E536))</f>
        <v/>
      </c>
      <c r="G536" s="16" t="str">
        <f aca="false">IF(A536="","",IFERROR(INDEX(Productos!$K$2:$K$1001,MATCH(A536,Productos!$A$2:$A$1001,0)),""))</f>
        <v/>
      </c>
      <c r="H536" s="16" t="str">
        <f aca="false">IF(OR(A536="",G536=""),"",F536*G536)</f>
        <v/>
      </c>
    </row>
    <row r="537" customFormat="false" ht="15" hidden="false" customHeight="false" outlineLevel="0" collapsed="false">
      <c r="A537" s="11"/>
      <c r="B537" s="12" t="str">
        <f aca="false">IF(A537="","",IFERROR(INDEX(Productos!$D$2:$D$1001,MATCH(A537,Productos!$A$2:$A$1001,0))&amp;" — "&amp;INDEX(Productos!$E$2:$E$1001,MATCH(A537,Productos!$A$2:$A$1001,0)),"SKU no existe en Productos"))</f>
        <v/>
      </c>
      <c r="C537" s="11"/>
      <c r="D537" s="11"/>
      <c r="E537" s="11"/>
      <c r="F537" s="12" t="str">
        <f aca="false">IF(A537="","",SUM(C537:E537))</f>
        <v/>
      </c>
      <c r="G537" s="16" t="str">
        <f aca="false">IF(A537="","",IFERROR(INDEX(Productos!$K$2:$K$1001,MATCH(A537,Productos!$A$2:$A$1001,0)),""))</f>
        <v/>
      </c>
      <c r="H537" s="16" t="str">
        <f aca="false">IF(OR(A537="",G537=""),"",F537*G537)</f>
        <v/>
      </c>
    </row>
    <row r="538" customFormat="false" ht="15" hidden="false" customHeight="false" outlineLevel="0" collapsed="false">
      <c r="A538" s="11"/>
      <c r="B538" s="12" t="str">
        <f aca="false">IF(A538="","",IFERROR(INDEX(Productos!$D$2:$D$1001,MATCH(A538,Productos!$A$2:$A$1001,0))&amp;" — "&amp;INDEX(Productos!$E$2:$E$1001,MATCH(A538,Productos!$A$2:$A$1001,0)),"SKU no existe en Productos"))</f>
        <v/>
      </c>
      <c r="C538" s="11"/>
      <c r="D538" s="11"/>
      <c r="E538" s="11"/>
      <c r="F538" s="12" t="str">
        <f aca="false">IF(A538="","",SUM(C538:E538))</f>
        <v/>
      </c>
      <c r="G538" s="16" t="str">
        <f aca="false">IF(A538="","",IFERROR(INDEX(Productos!$K$2:$K$1001,MATCH(A538,Productos!$A$2:$A$1001,0)),""))</f>
        <v/>
      </c>
      <c r="H538" s="16" t="str">
        <f aca="false">IF(OR(A538="",G538=""),"",F538*G538)</f>
        <v/>
      </c>
    </row>
    <row r="539" customFormat="false" ht="15" hidden="false" customHeight="false" outlineLevel="0" collapsed="false">
      <c r="A539" s="11"/>
      <c r="B539" s="12" t="str">
        <f aca="false">IF(A539="","",IFERROR(INDEX(Productos!$D$2:$D$1001,MATCH(A539,Productos!$A$2:$A$1001,0))&amp;" — "&amp;INDEX(Productos!$E$2:$E$1001,MATCH(A539,Productos!$A$2:$A$1001,0)),"SKU no existe en Productos"))</f>
        <v/>
      </c>
      <c r="C539" s="11"/>
      <c r="D539" s="11"/>
      <c r="E539" s="11"/>
      <c r="F539" s="12" t="str">
        <f aca="false">IF(A539="","",SUM(C539:E539))</f>
        <v/>
      </c>
      <c r="G539" s="16" t="str">
        <f aca="false">IF(A539="","",IFERROR(INDEX(Productos!$K$2:$K$1001,MATCH(A539,Productos!$A$2:$A$1001,0)),""))</f>
        <v/>
      </c>
      <c r="H539" s="16" t="str">
        <f aca="false">IF(OR(A539="",G539=""),"",F539*G539)</f>
        <v/>
      </c>
    </row>
    <row r="540" customFormat="false" ht="15" hidden="false" customHeight="false" outlineLevel="0" collapsed="false">
      <c r="A540" s="11"/>
      <c r="B540" s="12" t="str">
        <f aca="false">IF(A540="","",IFERROR(INDEX(Productos!$D$2:$D$1001,MATCH(A540,Productos!$A$2:$A$1001,0))&amp;" — "&amp;INDEX(Productos!$E$2:$E$1001,MATCH(A540,Productos!$A$2:$A$1001,0)),"SKU no existe en Productos"))</f>
        <v/>
      </c>
      <c r="C540" s="11"/>
      <c r="D540" s="11"/>
      <c r="E540" s="11"/>
      <c r="F540" s="12" t="str">
        <f aca="false">IF(A540="","",SUM(C540:E540))</f>
        <v/>
      </c>
      <c r="G540" s="16" t="str">
        <f aca="false">IF(A540="","",IFERROR(INDEX(Productos!$K$2:$K$1001,MATCH(A540,Productos!$A$2:$A$1001,0)),""))</f>
        <v/>
      </c>
      <c r="H540" s="16" t="str">
        <f aca="false">IF(OR(A540="",G540=""),"",F540*G540)</f>
        <v/>
      </c>
    </row>
    <row r="541" customFormat="false" ht="15" hidden="false" customHeight="false" outlineLevel="0" collapsed="false">
      <c r="A541" s="11"/>
      <c r="B541" s="12" t="str">
        <f aca="false">IF(A541="","",IFERROR(INDEX(Productos!$D$2:$D$1001,MATCH(A541,Productos!$A$2:$A$1001,0))&amp;" — "&amp;INDEX(Productos!$E$2:$E$1001,MATCH(A541,Productos!$A$2:$A$1001,0)),"SKU no existe en Productos"))</f>
        <v/>
      </c>
      <c r="C541" s="11"/>
      <c r="D541" s="11"/>
      <c r="E541" s="11"/>
      <c r="F541" s="12" t="str">
        <f aca="false">IF(A541="","",SUM(C541:E541))</f>
        <v/>
      </c>
      <c r="G541" s="16" t="str">
        <f aca="false">IF(A541="","",IFERROR(INDEX(Productos!$K$2:$K$1001,MATCH(A541,Productos!$A$2:$A$1001,0)),""))</f>
        <v/>
      </c>
      <c r="H541" s="16" t="str">
        <f aca="false">IF(OR(A541="",G541=""),"",F541*G541)</f>
        <v/>
      </c>
    </row>
    <row r="542" customFormat="false" ht="15" hidden="false" customHeight="false" outlineLevel="0" collapsed="false">
      <c r="A542" s="11"/>
      <c r="B542" s="12" t="str">
        <f aca="false">IF(A542="","",IFERROR(INDEX(Productos!$D$2:$D$1001,MATCH(A542,Productos!$A$2:$A$1001,0))&amp;" — "&amp;INDEX(Productos!$E$2:$E$1001,MATCH(A542,Productos!$A$2:$A$1001,0)),"SKU no existe en Productos"))</f>
        <v/>
      </c>
      <c r="C542" s="11"/>
      <c r="D542" s="11"/>
      <c r="E542" s="11"/>
      <c r="F542" s="12" t="str">
        <f aca="false">IF(A542="","",SUM(C542:E542))</f>
        <v/>
      </c>
      <c r="G542" s="16" t="str">
        <f aca="false">IF(A542="","",IFERROR(INDEX(Productos!$K$2:$K$1001,MATCH(A542,Productos!$A$2:$A$1001,0)),""))</f>
        <v/>
      </c>
      <c r="H542" s="16" t="str">
        <f aca="false">IF(OR(A542="",G542=""),"",F542*G542)</f>
        <v/>
      </c>
    </row>
    <row r="543" customFormat="false" ht="15" hidden="false" customHeight="false" outlineLevel="0" collapsed="false">
      <c r="A543" s="11"/>
      <c r="B543" s="12" t="str">
        <f aca="false">IF(A543="","",IFERROR(INDEX(Productos!$D$2:$D$1001,MATCH(A543,Productos!$A$2:$A$1001,0))&amp;" — "&amp;INDEX(Productos!$E$2:$E$1001,MATCH(A543,Productos!$A$2:$A$1001,0)),"SKU no existe en Productos"))</f>
        <v/>
      </c>
      <c r="C543" s="11"/>
      <c r="D543" s="11"/>
      <c r="E543" s="11"/>
      <c r="F543" s="12" t="str">
        <f aca="false">IF(A543="","",SUM(C543:E543))</f>
        <v/>
      </c>
      <c r="G543" s="16" t="str">
        <f aca="false">IF(A543="","",IFERROR(INDEX(Productos!$K$2:$K$1001,MATCH(A543,Productos!$A$2:$A$1001,0)),""))</f>
        <v/>
      </c>
      <c r="H543" s="16" t="str">
        <f aca="false">IF(OR(A543="",G543=""),"",F543*G543)</f>
        <v/>
      </c>
    </row>
    <row r="544" customFormat="false" ht="15" hidden="false" customHeight="false" outlineLevel="0" collapsed="false">
      <c r="A544" s="11"/>
      <c r="B544" s="12" t="str">
        <f aca="false">IF(A544="","",IFERROR(INDEX(Productos!$D$2:$D$1001,MATCH(A544,Productos!$A$2:$A$1001,0))&amp;" — "&amp;INDEX(Productos!$E$2:$E$1001,MATCH(A544,Productos!$A$2:$A$1001,0)),"SKU no existe en Productos"))</f>
        <v/>
      </c>
      <c r="C544" s="11"/>
      <c r="D544" s="11"/>
      <c r="E544" s="11"/>
      <c r="F544" s="12" t="str">
        <f aca="false">IF(A544="","",SUM(C544:E544))</f>
        <v/>
      </c>
      <c r="G544" s="16" t="str">
        <f aca="false">IF(A544="","",IFERROR(INDEX(Productos!$K$2:$K$1001,MATCH(A544,Productos!$A$2:$A$1001,0)),""))</f>
        <v/>
      </c>
      <c r="H544" s="16" t="str">
        <f aca="false">IF(OR(A544="",G544=""),"",F544*G544)</f>
        <v/>
      </c>
    </row>
    <row r="545" customFormat="false" ht="15" hidden="false" customHeight="false" outlineLevel="0" collapsed="false">
      <c r="A545" s="11"/>
      <c r="B545" s="12" t="str">
        <f aca="false">IF(A545="","",IFERROR(INDEX(Productos!$D$2:$D$1001,MATCH(A545,Productos!$A$2:$A$1001,0))&amp;" — "&amp;INDEX(Productos!$E$2:$E$1001,MATCH(A545,Productos!$A$2:$A$1001,0)),"SKU no existe en Productos"))</f>
        <v/>
      </c>
      <c r="C545" s="11"/>
      <c r="D545" s="11"/>
      <c r="E545" s="11"/>
      <c r="F545" s="12" t="str">
        <f aca="false">IF(A545="","",SUM(C545:E545))</f>
        <v/>
      </c>
      <c r="G545" s="16" t="str">
        <f aca="false">IF(A545="","",IFERROR(INDEX(Productos!$K$2:$K$1001,MATCH(A545,Productos!$A$2:$A$1001,0)),""))</f>
        <v/>
      </c>
      <c r="H545" s="16" t="str">
        <f aca="false">IF(OR(A545="",G545=""),"",F545*G545)</f>
        <v/>
      </c>
    </row>
    <row r="546" customFormat="false" ht="15" hidden="false" customHeight="false" outlineLevel="0" collapsed="false">
      <c r="A546" s="11"/>
      <c r="B546" s="12" t="str">
        <f aca="false">IF(A546="","",IFERROR(INDEX(Productos!$D$2:$D$1001,MATCH(A546,Productos!$A$2:$A$1001,0))&amp;" — "&amp;INDEX(Productos!$E$2:$E$1001,MATCH(A546,Productos!$A$2:$A$1001,0)),"SKU no existe en Productos"))</f>
        <v/>
      </c>
      <c r="C546" s="11"/>
      <c r="D546" s="11"/>
      <c r="E546" s="11"/>
      <c r="F546" s="12" t="str">
        <f aca="false">IF(A546="","",SUM(C546:E546))</f>
        <v/>
      </c>
      <c r="G546" s="16" t="str">
        <f aca="false">IF(A546="","",IFERROR(INDEX(Productos!$K$2:$K$1001,MATCH(A546,Productos!$A$2:$A$1001,0)),""))</f>
        <v/>
      </c>
      <c r="H546" s="16" t="str">
        <f aca="false">IF(OR(A546="",G546=""),"",F546*G546)</f>
        <v/>
      </c>
    </row>
    <row r="547" customFormat="false" ht="15" hidden="false" customHeight="false" outlineLevel="0" collapsed="false">
      <c r="A547" s="11"/>
      <c r="B547" s="12" t="str">
        <f aca="false">IF(A547="","",IFERROR(INDEX(Productos!$D$2:$D$1001,MATCH(A547,Productos!$A$2:$A$1001,0))&amp;" — "&amp;INDEX(Productos!$E$2:$E$1001,MATCH(A547,Productos!$A$2:$A$1001,0)),"SKU no existe en Productos"))</f>
        <v/>
      </c>
      <c r="C547" s="11"/>
      <c r="D547" s="11"/>
      <c r="E547" s="11"/>
      <c r="F547" s="12" t="str">
        <f aca="false">IF(A547="","",SUM(C547:E547))</f>
        <v/>
      </c>
      <c r="G547" s="16" t="str">
        <f aca="false">IF(A547="","",IFERROR(INDEX(Productos!$K$2:$K$1001,MATCH(A547,Productos!$A$2:$A$1001,0)),""))</f>
        <v/>
      </c>
      <c r="H547" s="16" t="str">
        <f aca="false">IF(OR(A547="",G547=""),"",F547*G547)</f>
        <v/>
      </c>
    </row>
    <row r="548" customFormat="false" ht="15" hidden="false" customHeight="false" outlineLevel="0" collapsed="false">
      <c r="A548" s="11"/>
      <c r="B548" s="12" t="str">
        <f aca="false">IF(A548="","",IFERROR(INDEX(Productos!$D$2:$D$1001,MATCH(A548,Productos!$A$2:$A$1001,0))&amp;" — "&amp;INDEX(Productos!$E$2:$E$1001,MATCH(A548,Productos!$A$2:$A$1001,0)),"SKU no existe en Productos"))</f>
        <v/>
      </c>
      <c r="C548" s="11"/>
      <c r="D548" s="11"/>
      <c r="E548" s="11"/>
      <c r="F548" s="12" t="str">
        <f aca="false">IF(A548="","",SUM(C548:E548))</f>
        <v/>
      </c>
      <c r="G548" s="16" t="str">
        <f aca="false">IF(A548="","",IFERROR(INDEX(Productos!$K$2:$K$1001,MATCH(A548,Productos!$A$2:$A$1001,0)),""))</f>
        <v/>
      </c>
      <c r="H548" s="16" t="str">
        <f aca="false">IF(OR(A548="",G548=""),"",F548*G548)</f>
        <v/>
      </c>
    </row>
    <row r="549" customFormat="false" ht="15" hidden="false" customHeight="false" outlineLevel="0" collapsed="false">
      <c r="A549" s="11"/>
      <c r="B549" s="12" t="str">
        <f aca="false">IF(A549="","",IFERROR(INDEX(Productos!$D$2:$D$1001,MATCH(A549,Productos!$A$2:$A$1001,0))&amp;" — "&amp;INDEX(Productos!$E$2:$E$1001,MATCH(A549,Productos!$A$2:$A$1001,0)),"SKU no existe en Productos"))</f>
        <v/>
      </c>
      <c r="C549" s="11"/>
      <c r="D549" s="11"/>
      <c r="E549" s="11"/>
      <c r="F549" s="12" t="str">
        <f aca="false">IF(A549="","",SUM(C549:E549))</f>
        <v/>
      </c>
      <c r="G549" s="16" t="str">
        <f aca="false">IF(A549="","",IFERROR(INDEX(Productos!$K$2:$K$1001,MATCH(A549,Productos!$A$2:$A$1001,0)),""))</f>
        <v/>
      </c>
      <c r="H549" s="16" t="str">
        <f aca="false">IF(OR(A549="",G549=""),"",F549*G549)</f>
        <v/>
      </c>
    </row>
    <row r="550" customFormat="false" ht="15" hidden="false" customHeight="false" outlineLevel="0" collapsed="false">
      <c r="A550" s="11"/>
      <c r="B550" s="12" t="str">
        <f aca="false">IF(A550="","",IFERROR(INDEX(Productos!$D$2:$D$1001,MATCH(A550,Productos!$A$2:$A$1001,0))&amp;" — "&amp;INDEX(Productos!$E$2:$E$1001,MATCH(A550,Productos!$A$2:$A$1001,0)),"SKU no existe en Productos"))</f>
        <v/>
      </c>
      <c r="C550" s="11"/>
      <c r="D550" s="11"/>
      <c r="E550" s="11"/>
      <c r="F550" s="12" t="str">
        <f aca="false">IF(A550="","",SUM(C550:E550))</f>
        <v/>
      </c>
      <c r="G550" s="16" t="str">
        <f aca="false">IF(A550="","",IFERROR(INDEX(Productos!$K$2:$K$1001,MATCH(A550,Productos!$A$2:$A$1001,0)),""))</f>
        <v/>
      </c>
      <c r="H550" s="16" t="str">
        <f aca="false">IF(OR(A550="",G550=""),"",F550*G550)</f>
        <v/>
      </c>
    </row>
    <row r="551" customFormat="false" ht="15" hidden="false" customHeight="false" outlineLevel="0" collapsed="false">
      <c r="A551" s="11"/>
      <c r="B551" s="12" t="str">
        <f aca="false">IF(A551="","",IFERROR(INDEX(Productos!$D$2:$D$1001,MATCH(A551,Productos!$A$2:$A$1001,0))&amp;" — "&amp;INDEX(Productos!$E$2:$E$1001,MATCH(A551,Productos!$A$2:$A$1001,0)),"SKU no existe en Productos"))</f>
        <v/>
      </c>
      <c r="C551" s="11"/>
      <c r="D551" s="11"/>
      <c r="E551" s="11"/>
      <c r="F551" s="12" t="str">
        <f aca="false">IF(A551="","",SUM(C551:E551))</f>
        <v/>
      </c>
      <c r="G551" s="16" t="str">
        <f aca="false">IF(A551="","",IFERROR(INDEX(Productos!$K$2:$K$1001,MATCH(A551,Productos!$A$2:$A$1001,0)),""))</f>
        <v/>
      </c>
      <c r="H551" s="16" t="str">
        <f aca="false">IF(OR(A551="",G551=""),"",F551*G551)</f>
        <v/>
      </c>
    </row>
    <row r="552" customFormat="false" ht="15" hidden="false" customHeight="false" outlineLevel="0" collapsed="false">
      <c r="A552" s="11"/>
      <c r="B552" s="12" t="str">
        <f aca="false">IF(A552="","",IFERROR(INDEX(Productos!$D$2:$D$1001,MATCH(A552,Productos!$A$2:$A$1001,0))&amp;" — "&amp;INDEX(Productos!$E$2:$E$1001,MATCH(A552,Productos!$A$2:$A$1001,0)),"SKU no existe en Productos"))</f>
        <v/>
      </c>
      <c r="C552" s="11"/>
      <c r="D552" s="11"/>
      <c r="E552" s="11"/>
      <c r="F552" s="12" t="str">
        <f aca="false">IF(A552="","",SUM(C552:E552))</f>
        <v/>
      </c>
      <c r="G552" s="16" t="str">
        <f aca="false">IF(A552="","",IFERROR(INDEX(Productos!$K$2:$K$1001,MATCH(A552,Productos!$A$2:$A$1001,0)),""))</f>
        <v/>
      </c>
      <c r="H552" s="16" t="str">
        <f aca="false">IF(OR(A552="",G552=""),"",F552*G552)</f>
        <v/>
      </c>
    </row>
    <row r="553" customFormat="false" ht="15" hidden="false" customHeight="false" outlineLevel="0" collapsed="false">
      <c r="A553" s="11"/>
      <c r="B553" s="12" t="str">
        <f aca="false">IF(A553="","",IFERROR(INDEX(Productos!$D$2:$D$1001,MATCH(A553,Productos!$A$2:$A$1001,0))&amp;" — "&amp;INDEX(Productos!$E$2:$E$1001,MATCH(A553,Productos!$A$2:$A$1001,0)),"SKU no existe en Productos"))</f>
        <v/>
      </c>
      <c r="C553" s="11"/>
      <c r="D553" s="11"/>
      <c r="E553" s="11"/>
      <c r="F553" s="12" t="str">
        <f aca="false">IF(A553="","",SUM(C553:E553))</f>
        <v/>
      </c>
      <c r="G553" s="16" t="str">
        <f aca="false">IF(A553="","",IFERROR(INDEX(Productos!$K$2:$K$1001,MATCH(A553,Productos!$A$2:$A$1001,0)),""))</f>
        <v/>
      </c>
      <c r="H553" s="16" t="str">
        <f aca="false">IF(OR(A553="",G553=""),"",F553*G553)</f>
        <v/>
      </c>
    </row>
    <row r="554" customFormat="false" ht="15" hidden="false" customHeight="false" outlineLevel="0" collapsed="false">
      <c r="A554" s="11"/>
      <c r="B554" s="12" t="str">
        <f aca="false">IF(A554="","",IFERROR(INDEX(Productos!$D$2:$D$1001,MATCH(A554,Productos!$A$2:$A$1001,0))&amp;" — "&amp;INDEX(Productos!$E$2:$E$1001,MATCH(A554,Productos!$A$2:$A$1001,0)),"SKU no existe en Productos"))</f>
        <v/>
      </c>
      <c r="C554" s="11"/>
      <c r="D554" s="11"/>
      <c r="E554" s="11"/>
      <c r="F554" s="12" t="str">
        <f aca="false">IF(A554="","",SUM(C554:E554))</f>
        <v/>
      </c>
      <c r="G554" s="16" t="str">
        <f aca="false">IF(A554="","",IFERROR(INDEX(Productos!$K$2:$K$1001,MATCH(A554,Productos!$A$2:$A$1001,0)),""))</f>
        <v/>
      </c>
      <c r="H554" s="16" t="str">
        <f aca="false">IF(OR(A554="",G554=""),"",F554*G554)</f>
        <v/>
      </c>
    </row>
    <row r="555" customFormat="false" ht="15" hidden="false" customHeight="false" outlineLevel="0" collapsed="false">
      <c r="A555" s="11"/>
      <c r="B555" s="12" t="str">
        <f aca="false">IF(A555="","",IFERROR(INDEX(Productos!$D$2:$D$1001,MATCH(A555,Productos!$A$2:$A$1001,0))&amp;" — "&amp;INDEX(Productos!$E$2:$E$1001,MATCH(A555,Productos!$A$2:$A$1001,0)),"SKU no existe en Productos"))</f>
        <v/>
      </c>
      <c r="C555" s="11"/>
      <c r="D555" s="11"/>
      <c r="E555" s="11"/>
      <c r="F555" s="12" t="str">
        <f aca="false">IF(A555="","",SUM(C555:E555))</f>
        <v/>
      </c>
      <c r="G555" s="16" t="str">
        <f aca="false">IF(A555="","",IFERROR(INDEX(Productos!$K$2:$K$1001,MATCH(A555,Productos!$A$2:$A$1001,0)),""))</f>
        <v/>
      </c>
      <c r="H555" s="16" t="str">
        <f aca="false">IF(OR(A555="",G555=""),"",F555*G555)</f>
        <v/>
      </c>
    </row>
    <row r="556" customFormat="false" ht="15" hidden="false" customHeight="false" outlineLevel="0" collapsed="false">
      <c r="A556" s="11"/>
      <c r="B556" s="12" t="str">
        <f aca="false">IF(A556="","",IFERROR(INDEX(Productos!$D$2:$D$1001,MATCH(A556,Productos!$A$2:$A$1001,0))&amp;" — "&amp;INDEX(Productos!$E$2:$E$1001,MATCH(A556,Productos!$A$2:$A$1001,0)),"SKU no existe en Productos"))</f>
        <v/>
      </c>
      <c r="C556" s="11"/>
      <c r="D556" s="11"/>
      <c r="E556" s="11"/>
      <c r="F556" s="12" t="str">
        <f aca="false">IF(A556="","",SUM(C556:E556))</f>
        <v/>
      </c>
      <c r="G556" s="16" t="str">
        <f aca="false">IF(A556="","",IFERROR(INDEX(Productos!$K$2:$K$1001,MATCH(A556,Productos!$A$2:$A$1001,0)),""))</f>
        <v/>
      </c>
      <c r="H556" s="16" t="str">
        <f aca="false">IF(OR(A556="",G556=""),"",F556*G556)</f>
        <v/>
      </c>
    </row>
    <row r="557" customFormat="false" ht="15" hidden="false" customHeight="false" outlineLevel="0" collapsed="false">
      <c r="A557" s="11"/>
      <c r="B557" s="12" t="str">
        <f aca="false">IF(A557="","",IFERROR(INDEX(Productos!$D$2:$D$1001,MATCH(A557,Productos!$A$2:$A$1001,0))&amp;" — "&amp;INDEX(Productos!$E$2:$E$1001,MATCH(A557,Productos!$A$2:$A$1001,0)),"SKU no existe en Productos"))</f>
        <v/>
      </c>
      <c r="C557" s="11"/>
      <c r="D557" s="11"/>
      <c r="E557" s="11"/>
      <c r="F557" s="12" t="str">
        <f aca="false">IF(A557="","",SUM(C557:E557))</f>
        <v/>
      </c>
      <c r="G557" s="16" t="str">
        <f aca="false">IF(A557="","",IFERROR(INDEX(Productos!$K$2:$K$1001,MATCH(A557,Productos!$A$2:$A$1001,0)),""))</f>
        <v/>
      </c>
      <c r="H557" s="16" t="str">
        <f aca="false">IF(OR(A557="",G557=""),"",F557*G557)</f>
        <v/>
      </c>
    </row>
    <row r="558" customFormat="false" ht="15" hidden="false" customHeight="false" outlineLevel="0" collapsed="false">
      <c r="A558" s="11"/>
      <c r="B558" s="12" t="str">
        <f aca="false">IF(A558="","",IFERROR(INDEX(Productos!$D$2:$D$1001,MATCH(A558,Productos!$A$2:$A$1001,0))&amp;" — "&amp;INDEX(Productos!$E$2:$E$1001,MATCH(A558,Productos!$A$2:$A$1001,0)),"SKU no existe en Productos"))</f>
        <v/>
      </c>
      <c r="C558" s="11"/>
      <c r="D558" s="11"/>
      <c r="E558" s="11"/>
      <c r="F558" s="12" t="str">
        <f aca="false">IF(A558="","",SUM(C558:E558))</f>
        <v/>
      </c>
      <c r="G558" s="16" t="str">
        <f aca="false">IF(A558="","",IFERROR(INDEX(Productos!$K$2:$K$1001,MATCH(A558,Productos!$A$2:$A$1001,0)),""))</f>
        <v/>
      </c>
      <c r="H558" s="16" t="str">
        <f aca="false">IF(OR(A558="",G558=""),"",F558*G558)</f>
        <v/>
      </c>
    </row>
    <row r="559" customFormat="false" ht="15" hidden="false" customHeight="false" outlineLevel="0" collapsed="false">
      <c r="A559" s="11"/>
      <c r="B559" s="12" t="str">
        <f aca="false">IF(A559="","",IFERROR(INDEX(Productos!$D$2:$D$1001,MATCH(A559,Productos!$A$2:$A$1001,0))&amp;" — "&amp;INDEX(Productos!$E$2:$E$1001,MATCH(A559,Productos!$A$2:$A$1001,0)),"SKU no existe en Productos"))</f>
        <v/>
      </c>
      <c r="C559" s="11"/>
      <c r="D559" s="11"/>
      <c r="E559" s="11"/>
      <c r="F559" s="12" t="str">
        <f aca="false">IF(A559="","",SUM(C559:E559))</f>
        <v/>
      </c>
      <c r="G559" s="16" t="str">
        <f aca="false">IF(A559="","",IFERROR(INDEX(Productos!$K$2:$K$1001,MATCH(A559,Productos!$A$2:$A$1001,0)),""))</f>
        <v/>
      </c>
      <c r="H559" s="16" t="str">
        <f aca="false">IF(OR(A559="",G559=""),"",F559*G559)</f>
        <v/>
      </c>
    </row>
    <row r="560" customFormat="false" ht="15" hidden="false" customHeight="false" outlineLevel="0" collapsed="false">
      <c r="A560" s="11"/>
      <c r="B560" s="12" t="str">
        <f aca="false">IF(A560="","",IFERROR(INDEX(Productos!$D$2:$D$1001,MATCH(A560,Productos!$A$2:$A$1001,0))&amp;" — "&amp;INDEX(Productos!$E$2:$E$1001,MATCH(A560,Productos!$A$2:$A$1001,0)),"SKU no existe en Productos"))</f>
        <v/>
      </c>
      <c r="C560" s="11"/>
      <c r="D560" s="11"/>
      <c r="E560" s="11"/>
      <c r="F560" s="12" t="str">
        <f aca="false">IF(A560="","",SUM(C560:E560))</f>
        <v/>
      </c>
      <c r="G560" s="16" t="str">
        <f aca="false">IF(A560="","",IFERROR(INDEX(Productos!$K$2:$K$1001,MATCH(A560,Productos!$A$2:$A$1001,0)),""))</f>
        <v/>
      </c>
      <c r="H560" s="16" t="str">
        <f aca="false">IF(OR(A560="",G560=""),"",F560*G560)</f>
        <v/>
      </c>
    </row>
    <row r="561" customFormat="false" ht="15" hidden="false" customHeight="false" outlineLevel="0" collapsed="false">
      <c r="A561" s="11"/>
      <c r="B561" s="12" t="str">
        <f aca="false">IF(A561="","",IFERROR(INDEX(Productos!$D$2:$D$1001,MATCH(A561,Productos!$A$2:$A$1001,0))&amp;" — "&amp;INDEX(Productos!$E$2:$E$1001,MATCH(A561,Productos!$A$2:$A$1001,0)),"SKU no existe en Productos"))</f>
        <v/>
      </c>
      <c r="C561" s="11"/>
      <c r="D561" s="11"/>
      <c r="E561" s="11"/>
      <c r="F561" s="12" t="str">
        <f aca="false">IF(A561="","",SUM(C561:E561))</f>
        <v/>
      </c>
      <c r="G561" s="16" t="str">
        <f aca="false">IF(A561="","",IFERROR(INDEX(Productos!$K$2:$K$1001,MATCH(A561,Productos!$A$2:$A$1001,0)),""))</f>
        <v/>
      </c>
      <c r="H561" s="16" t="str">
        <f aca="false">IF(OR(A561="",G561=""),"",F561*G561)</f>
        <v/>
      </c>
    </row>
    <row r="562" customFormat="false" ht="15" hidden="false" customHeight="false" outlineLevel="0" collapsed="false">
      <c r="A562" s="11"/>
      <c r="B562" s="12" t="str">
        <f aca="false">IF(A562="","",IFERROR(INDEX(Productos!$D$2:$D$1001,MATCH(A562,Productos!$A$2:$A$1001,0))&amp;" — "&amp;INDEX(Productos!$E$2:$E$1001,MATCH(A562,Productos!$A$2:$A$1001,0)),"SKU no existe en Productos"))</f>
        <v/>
      </c>
      <c r="C562" s="11"/>
      <c r="D562" s="11"/>
      <c r="E562" s="11"/>
      <c r="F562" s="12" t="str">
        <f aca="false">IF(A562="","",SUM(C562:E562))</f>
        <v/>
      </c>
      <c r="G562" s="16" t="str">
        <f aca="false">IF(A562="","",IFERROR(INDEX(Productos!$K$2:$K$1001,MATCH(A562,Productos!$A$2:$A$1001,0)),""))</f>
        <v/>
      </c>
      <c r="H562" s="16" t="str">
        <f aca="false">IF(OR(A562="",G562=""),"",F562*G562)</f>
        <v/>
      </c>
    </row>
    <row r="563" customFormat="false" ht="15" hidden="false" customHeight="false" outlineLevel="0" collapsed="false">
      <c r="A563" s="11"/>
      <c r="B563" s="12" t="str">
        <f aca="false">IF(A563="","",IFERROR(INDEX(Productos!$D$2:$D$1001,MATCH(A563,Productos!$A$2:$A$1001,0))&amp;" — "&amp;INDEX(Productos!$E$2:$E$1001,MATCH(A563,Productos!$A$2:$A$1001,0)),"SKU no existe en Productos"))</f>
        <v/>
      </c>
      <c r="C563" s="11"/>
      <c r="D563" s="11"/>
      <c r="E563" s="11"/>
      <c r="F563" s="12" t="str">
        <f aca="false">IF(A563="","",SUM(C563:E563))</f>
        <v/>
      </c>
      <c r="G563" s="16" t="str">
        <f aca="false">IF(A563="","",IFERROR(INDEX(Productos!$K$2:$K$1001,MATCH(A563,Productos!$A$2:$A$1001,0)),""))</f>
        <v/>
      </c>
      <c r="H563" s="16" t="str">
        <f aca="false">IF(OR(A563="",G563=""),"",F563*G563)</f>
        <v/>
      </c>
    </row>
    <row r="564" customFormat="false" ht="15" hidden="false" customHeight="false" outlineLevel="0" collapsed="false">
      <c r="A564" s="11"/>
      <c r="B564" s="12" t="str">
        <f aca="false">IF(A564="","",IFERROR(INDEX(Productos!$D$2:$D$1001,MATCH(A564,Productos!$A$2:$A$1001,0))&amp;" — "&amp;INDEX(Productos!$E$2:$E$1001,MATCH(A564,Productos!$A$2:$A$1001,0)),"SKU no existe en Productos"))</f>
        <v/>
      </c>
      <c r="C564" s="11"/>
      <c r="D564" s="11"/>
      <c r="E564" s="11"/>
      <c r="F564" s="12" t="str">
        <f aca="false">IF(A564="","",SUM(C564:E564))</f>
        <v/>
      </c>
      <c r="G564" s="16" t="str">
        <f aca="false">IF(A564="","",IFERROR(INDEX(Productos!$K$2:$K$1001,MATCH(A564,Productos!$A$2:$A$1001,0)),""))</f>
        <v/>
      </c>
      <c r="H564" s="16" t="str">
        <f aca="false">IF(OR(A564="",G564=""),"",F564*G564)</f>
        <v/>
      </c>
    </row>
    <row r="565" customFormat="false" ht="15" hidden="false" customHeight="false" outlineLevel="0" collapsed="false">
      <c r="A565" s="11"/>
      <c r="B565" s="12" t="str">
        <f aca="false">IF(A565="","",IFERROR(INDEX(Productos!$D$2:$D$1001,MATCH(A565,Productos!$A$2:$A$1001,0))&amp;" — "&amp;INDEX(Productos!$E$2:$E$1001,MATCH(A565,Productos!$A$2:$A$1001,0)),"SKU no existe en Productos"))</f>
        <v/>
      </c>
      <c r="C565" s="11"/>
      <c r="D565" s="11"/>
      <c r="E565" s="11"/>
      <c r="F565" s="12" t="str">
        <f aca="false">IF(A565="","",SUM(C565:E565))</f>
        <v/>
      </c>
      <c r="G565" s="16" t="str">
        <f aca="false">IF(A565="","",IFERROR(INDEX(Productos!$K$2:$K$1001,MATCH(A565,Productos!$A$2:$A$1001,0)),""))</f>
        <v/>
      </c>
      <c r="H565" s="16" t="str">
        <f aca="false">IF(OR(A565="",G565=""),"",F565*G565)</f>
        <v/>
      </c>
    </row>
    <row r="566" customFormat="false" ht="15" hidden="false" customHeight="false" outlineLevel="0" collapsed="false">
      <c r="A566" s="11"/>
      <c r="B566" s="12" t="str">
        <f aca="false">IF(A566="","",IFERROR(INDEX(Productos!$D$2:$D$1001,MATCH(A566,Productos!$A$2:$A$1001,0))&amp;" — "&amp;INDEX(Productos!$E$2:$E$1001,MATCH(A566,Productos!$A$2:$A$1001,0)),"SKU no existe en Productos"))</f>
        <v/>
      </c>
      <c r="C566" s="11"/>
      <c r="D566" s="11"/>
      <c r="E566" s="11"/>
      <c r="F566" s="12" t="str">
        <f aca="false">IF(A566="","",SUM(C566:E566))</f>
        <v/>
      </c>
      <c r="G566" s="16" t="str">
        <f aca="false">IF(A566="","",IFERROR(INDEX(Productos!$K$2:$K$1001,MATCH(A566,Productos!$A$2:$A$1001,0)),""))</f>
        <v/>
      </c>
      <c r="H566" s="16" t="str">
        <f aca="false">IF(OR(A566="",G566=""),"",F566*G566)</f>
        <v/>
      </c>
    </row>
    <row r="567" customFormat="false" ht="15" hidden="false" customHeight="false" outlineLevel="0" collapsed="false">
      <c r="A567" s="11"/>
      <c r="B567" s="12" t="str">
        <f aca="false">IF(A567="","",IFERROR(INDEX(Productos!$D$2:$D$1001,MATCH(A567,Productos!$A$2:$A$1001,0))&amp;" — "&amp;INDEX(Productos!$E$2:$E$1001,MATCH(A567,Productos!$A$2:$A$1001,0)),"SKU no existe en Productos"))</f>
        <v/>
      </c>
      <c r="C567" s="11"/>
      <c r="D567" s="11"/>
      <c r="E567" s="11"/>
      <c r="F567" s="12" t="str">
        <f aca="false">IF(A567="","",SUM(C567:E567))</f>
        <v/>
      </c>
      <c r="G567" s="16" t="str">
        <f aca="false">IF(A567="","",IFERROR(INDEX(Productos!$K$2:$K$1001,MATCH(A567,Productos!$A$2:$A$1001,0)),""))</f>
        <v/>
      </c>
      <c r="H567" s="16" t="str">
        <f aca="false">IF(OR(A567="",G567=""),"",F567*G567)</f>
        <v/>
      </c>
    </row>
    <row r="568" customFormat="false" ht="15" hidden="false" customHeight="false" outlineLevel="0" collapsed="false">
      <c r="A568" s="11"/>
      <c r="B568" s="12" t="str">
        <f aca="false">IF(A568="","",IFERROR(INDEX(Productos!$D$2:$D$1001,MATCH(A568,Productos!$A$2:$A$1001,0))&amp;" — "&amp;INDEX(Productos!$E$2:$E$1001,MATCH(A568,Productos!$A$2:$A$1001,0)),"SKU no existe en Productos"))</f>
        <v/>
      </c>
      <c r="C568" s="11"/>
      <c r="D568" s="11"/>
      <c r="E568" s="11"/>
      <c r="F568" s="12" t="str">
        <f aca="false">IF(A568="","",SUM(C568:E568))</f>
        <v/>
      </c>
      <c r="G568" s="16" t="str">
        <f aca="false">IF(A568="","",IFERROR(INDEX(Productos!$K$2:$K$1001,MATCH(A568,Productos!$A$2:$A$1001,0)),""))</f>
        <v/>
      </c>
      <c r="H568" s="16" t="str">
        <f aca="false">IF(OR(A568="",G568=""),"",F568*G568)</f>
        <v/>
      </c>
    </row>
    <row r="569" customFormat="false" ht="15" hidden="false" customHeight="false" outlineLevel="0" collapsed="false">
      <c r="A569" s="11"/>
      <c r="B569" s="12" t="str">
        <f aca="false">IF(A569="","",IFERROR(INDEX(Productos!$D$2:$D$1001,MATCH(A569,Productos!$A$2:$A$1001,0))&amp;" — "&amp;INDEX(Productos!$E$2:$E$1001,MATCH(A569,Productos!$A$2:$A$1001,0)),"SKU no existe en Productos"))</f>
        <v/>
      </c>
      <c r="C569" s="11"/>
      <c r="D569" s="11"/>
      <c r="E569" s="11"/>
      <c r="F569" s="12" t="str">
        <f aca="false">IF(A569="","",SUM(C569:E569))</f>
        <v/>
      </c>
      <c r="G569" s="16" t="str">
        <f aca="false">IF(A569="","",IFERROR(INDEX(Productos!$K$2:$K$1001,MATCH(A569,Productos!$A$2:$A$1001,0)),""))</f>
        <v/>
      </c>
      <c r="H569" s="16" t="str">
        <f aca="false">IF(OR(A569="",G569=""),"",F569*G569)</f>
        <v/>
      </c>
    </row>
    <row r="570" customFormat="false" ht="15" hidden="false" customHeight="false" outlineLevel="0" collapsed="false">
      <c r="A570" s="11"/>
      <c r="B570" s="12" t="str">
        <f aca="false">IF(A570="","",IFERROR(INDEX(Productos!$D$2:$D$1001,MATCH(A570,Productos!$A$2:$A$1001,0))&amp;" — "&amp;INDEX(Productos!$E$2:$E$1001,MATCH(A570,Productos!$A$2:$A$1001,0)),"SKU no existe en Productos"))</f>
        <v/>
      </c>
      <c r="C570" s="11"/>
      <c r="D570" s="11"/>
      <c r="E570" s="11"/>
      <c r="F570" s="12" t="str">
        <f aca="false">IF(A570="","",SUM(C570:E570))</f>
        <v/>
      </c>
      <c r="G570" s="16" t="str">
        <f aca="false">IF(A570="","",IFERROR(INDEX(Productos!$K$2:$K$1001,MATCH(A570,Productos!$A$2:$A$1001,0)),""))</f>
        <v/>
      </c>
      <c r="H570" s="16" t="str">
        <f aca="false">IF(OR(A570="",G570=""),"",F570*G570)</f>
        <v/>
      </c>
    </row>
    <row r="571" customFormat="false" ht="15" hidden="false" customHeight="false" outlineLevel="0" collapsed="false">
      <c r="A571" s="11"/>
      <c r="B571" s="12" t="str">
        <f aca="false">IF(A571="","",IFERROR(INDEX(Productos!$D$2:$D$1001,MATCH(A571,Productos!$A$2:$A$1001,0))&amp;" — "&amp;INDEX(Productos!$E$2:$E$1001,MATCH(A571,Productos!$A$2:$A$1001,0)),"SKU no existe en Productos"))</f>
        <v/>
      </c>
      <c r="C571" s="11"/>
      <c r="D571" s="11"/>
      <c r="E571" s="11"/>
      <c r="F571" s="12" t="str">
        <f aca="false">IF(A571="","",SUM(C571:E571))</f>
        <v/>
      </c>
      <c r="G571" s="16" t="str">
        <f aca="false">IF(A571="","",IFERROR(INDEX(Productos!$K$2:$K$1001,MATCH(A571,Productos!$A$2:$A$1001,0)),""))</f>
        <v/>
      </c>
      <c r="H571" s="16" t="str">
        <f aca="false">IF(OR(A571="",G571=""),"",F571*G571)</f>
        <v/>
      </c>
    </row>
    <row r="572" customFormat="false" ht="15" hidden="false" customHeight="false" outlineLevel="0" collapsed="false">
      <c r="A572" s="11"/>
      <c r="B572" s="12" t="str">
        <f aca="false">IF(A572="","",IFERROR(INDEX(Productos!$D$2:$D$1001,MATCH(A572,Productos!$A$2:$A$1001,0))&amp;" — "&amp;INDEX(Productos!$E$2:$E$1001,MATCH(A572,Productos!$A$2:$A$1001,0)),"SKU no existe en Productos"))</f>
        <v/>
      </c>
      <c r="C572" s="11"/>
      <c r="D572" s="11"/>
      <c r="E572" s="11"/>
      <c r="F572" s="12" t="str">
        <f aca="false">IF(A572="","",SUM(C572:E572))</f>
        <v/>
      </c>
      <c r="G572" s="16" t="str">
        <f aca="false">IF(A572="","",IFERROR(INDEX(Productos!$K$2:$K$1001,MATCH(A572,Productos!$A$2:$A$1001,0)),""))</f>
        <v/>
      </c>
      <c r="H572" s="16" t="str">
        <f aca="false">IF(OR(A572="",G572=""),"",F572*G572)</f>
        <v/>
      </c>
    </row>
    <row r="573" customFormat="false" ht="15" hidden="false" customHeight="false" outlineLevel="0" collapsed="false">
      <c r="A573" s="11"/>
      <c r="B573" s="12" t="str">
        <f aca="false">IF(A573="","",IFERROR(INDEX(Productos!$D$2:$D$1001,MATCH(A573,Productos!$A$2:$A$1001,0))&amp;" — "&amp;INDEX(Productos!$E$2:$E$1001,MATCH(A573,Productos!$A$2:$A$1001,0)),"SKU no existe en Productos"))</f>
        <v/>
      </c>
      <c r="C573" s="11"/>
      <c r="D573" s="11"/>
      <c r="E573" s="11"/>
      <c r="F573" s="12" t="str">
        <f aca="false">IF(A573="","",SUM(C573:E573))</f>
        <v/>
      </c>
      <c r="G573" s="16" t="str">
        <f aca="false">IF(A573="","",IFERROR(INDEX(Productos!$K$2:$K$1001,MATCH(A573,Productos!$A$2:$A$1001,0)),""))</f>
        <v/>
      </c>
      <c r="H573" s="16" t="str">
        <f aca="false">IF(OR(A573="",G573=""),"",F573*G573)</f>
        <v/>
      </c>
    </row>
    <row r="574" customFormat="false" ht="15" hidden="false" customHeight="false" outlineLevel="0" collapsed="false">
      <c r="A574" s="11"/>
      <c r="B574" s="12" t="str">
        <f aca="false">IF(A574="","",IFERROR(INDEX(Productos!$D$2:$D$1001,MATCH(A574,Productos!$A$2:$A$1001,0))&amp;" — "&amp;INDEX(Productos!$E$2:$E$1001,MATCH(A574,Productos!$A$2:$A$1001,0)),"SKU no existe en Productos"))</f>
        <v/>
      </c>
      <c r="C574" s="11"/>
      <c r="D574" s="11"/>
      <c r="E574" s="11"/>
      <c r="F574" s="12" t="str">
        <f aca="false">IF(A574="","",SUM(C574:E574))</f>
        <v/>
      </c>
      <c r="G574" s="16" t="str">
        <f aca="false">IF(A574="","",IFERROR(INDEX(Productos!$K$2:$K$1001,MATCH(A574,Productos!$A$2:$A$1001,0)),""))</f>
        <v/>
      </c>
      <c r="H574" s="16" t="str">
        <f aca="false">IF(OR(A574="",G574=""),"",F574*G574)</f>
        <v/>
      </c>
    </row>
    <row r="575" customFormat="false" ht="15" hidden="false" customHeight="false" outlineLevel="0" collapsed="false">
      <c r="A575" s="11"/>
      <c r="B575" s="12" t="str">
        <f aca="false">IF(A575="","",IFERROR(INDEX(Productos!$D$2:$D$1001,MATCH(A575,Productos!$A$2:$A$1001,0))&amp;" — "&amp;INDEX(Productos!$E$2:$E$1001,MATCH(A575,Productos!$A$2:$A$1001,0)),"SKU no existe en Productos"))</f>
        <v/>
      </c>
      <c r="C575" s="11"/>
      <c r="D575" s="11"/>
      <c r="E575" s="11"/>
      <c r="F575" s="12" t="str">
        <f aca="false">IF(A575="","",SUM(C575:E575))</f>
        <v/>
      </c>
      <c r="G575" s="16" t="str">
        <f aca="false">IF(A575="","",IFERROR(INDEX(Productos!$K$2:$K$1001,MATCH(A575,Productos!$A$2:$A$1001,0)),""))</f>
        <v/>
      </c>
      <c r="H575" s="16" t="str">
        <f aca="false">IF(OR(A575="",G575=""),"",F575*G575)</f>
        <v/>
      </c>
    </row>
    <row r="576" customFormat="false" ht="15" hidden="false" customHeight="false" outlineLevel="0" collapsed="false">
      <c r="A576" s="11"/>
      <c r="B576" s="12" t="str">
        <f aca="false">IF(A576="","",IFERROR(INDEX(Productos!$D$2:$D$1001,MATCH(A576,Productos!$A$2:$A$1001,0))&amp;" — "&amp;INDEX(Productos!$E$2:$E$1001,MATCH(A576,Productos!$A$2:$A$1001,0)),"SKU no existe en Productos"))</f>
        <v/>
      </c>
      <c r="C576" s="11"/>
      <c r="D576" s="11"/>
      <c r="E576" s="11"/>
      <c r="F576" s="12" t="str">
        <f aca="false">IF(A576="","",SUM(C576:E576))</f>
        <v/>
      </c>
      <c r="G576" s="16" t="str">
        <f aca="false">IF(A576="","",IFERROR(INDEX(Productos!$K$2:$K$1001,MATCH(A576,Productos!$A$2:$A$1001,0)),""))</f>
        <v/>
      </c>
      <c r="H576" s="16" t="str">
        <f aca="false">IF(OR(A576="",G576=""),"",F576*G576)</f>
        <v/>
      </c>
    </row>
    <row r="577" customFormat="false" ht="15" hidden="false" customHeight="false" outlineLevel="0" collapsed="false">
      <c r="A577" s="11"/>
      <c r="B577" s="12" t="str">
        <f aca="false">IF(A577="","",IFERROR(INDEX(Productos!$D$2:$D$1001,MATCH(A577,Productos!$A$2:$A$1001,0))&amp;" — "&amp;INDEX(Productos!$E$2:$E$1001,MATCH(A577,Productos!$A$2:$A$1001,0)),"SKU no existe en Productos"))</f>
        <v/>
      </c>
      <c r="C577" s="11"/>
      <c r="D577" s="11"/>
      <c r="E577" s="11"/>
      <c r="F577" s="12" t="str">
        <f aca="false">IF(A577="","",SUM(C577:E577))</f>
        <v/>
      </c>
      <c r="G577" s="16" t="str">
        <f aca="false">IF(A577="","",IFERROR(INDEX(Productos!$K$2:$K$1001,MATCH(A577,Productos!$A$2:$A$1001,0)),""))</f>
        <v/>
      </c>
      <c r="H577" s="16" t="str">
        <f aca="false">IF(OR(A577="",G577=""),"",F577*G577)</f>
        <v/>
      </c>
    </row>
    <row r="578" customFormat="false" ht="15" hidden="false" customHeight="false" outlineLevel="0" collapsed="false">
      <c r="A578" s="11"/>
      <c r="B578" s="12" t="str">
        <f aca="false">IF(A578="","",IFERROR(INDEX(Productos!$D$2:$D$1001,MATCH(A578,Productos!$A$2:$A$1001,0))&amp;" — "&amp;INDEX(Productos!$E$2:$E$1001,MATCH(A578,Productos!$A$2:$A$1001,0)),"SKU no existe en Productos"))</f>
        <v/>
      </c>
      <c r="C578" s="11"/>
      <c r="D578" s="11"/>
      <c r="E578" s="11"/>
      <c r="F578" s="12" t="str">
        <f aca="false">IF(A578="","",SUM(C578:E578))</f>
        <v/>
      </c>
      <c r="G578" s="16" t="str">
        <f aca="false">IF(A578="","",IFERROR(INDEX(Productos!$K$2:$K$1001,MATCH(A578,Productos!$A$2:$A$1001,0)),""))</f>
        <v/>
      </c>
      <c r="H578" s="16" t="str">
        <f aca="false">IF(OR(A578="",G578=""),"",F578*G578)</f>
        <v/>
      </c>
    </row>
    <row r="579" customFormat="false" ht="15" hidden="false" customHeight="false" outlineLevel="0" collapsed="false">
      <c r="A579" s="11"/>
      <c r="B579" s="12" t="str">
        <f aca="false">IF(A579="","",IFERROR(INDEX(Productos!$D$2:$D$1001,MATCH(A579,Productos!$A$2:$A$1001,0))&amp;" — "&amp;INDEX(Productos!$E$2:$E$1001,MATCH(A579,Productos!$A$2:$A$1001,0)),"SKU no existe en Productos"))</f>
        <v/>
      </c>
      <c r="C579" s="11"/>
      <c r="D579" s="11"/>
      <c r="E579" s="11"/>
      <c r="F579" s="12" t="str">
        <f aca="false">IF(A579="","",SUM(C579:E579))</f>
        <v/>
      </c>
      <c r="G579" s="16" t="str">
        <f aca="false">IF(A579="","",IFERROR(INDEX(Productos!$K$2:$K$1001,MATCH(A579,Productos!$A$2:$A$1001,0)),""))</f>
        <v/>
      </c>
      <c r="H579" s="16" t="str">
        <f aca="false">IF(OR(A579="",G579=""),"",F579*G579)</f>
        <v/>
      </c>
    </row>
    <row r="580" customFormat="false" ht="15" hidden="false" customHeight="false" outlineLevel="0" collapsed="false">
      <c r="A580" s="11"/>
      <c r="B580" s="12" t="str">
        <f aca="false">IF(A580="","",IFERROR(INDEX(Productos!$D$2:$D$1001,MATCH(A580,Productos!$A$2:$A$1001,0))&amp;" — "&amp;INDEX(Productos!$E$2:$E$1001,MATCH(A580,Productos!$A$2:$A$1001,0)),"SKU no existe en Productos"))</f>
        <v/>
      </c>
      <c r="C580" s="11"/>
      <c r="D580" s="11"/>
      <c r="E580" s="11"/>
      <c r="F580" s="12" t="str">
        <f aca="false">IF(A580="","",SUM(C580:E580))</f>
        <v/>
      </c>
      <c r="G580" s="16" t="str">
        <f aca="false">IF(A580="","",IFERROR(INDEX(Productos!$K$2:$K$1001,MATCH(A580,Productos!$A$2:$A$1001,0)),""))</f>
        <v/>
      </c>
      <c r="H580" s="16" t="str">
        <f aca="false">IF(OR(A580="",G580=""),"",F580*G580)</f>
        <v/>
      </c>
    </row>
    <row r="581" customFormat="false" ht="15" hidden="false" customHeight="false" outlineLevel="0" collapsed="false">
      <c r="A581" s="11"/>
      <c r="B581" s="12" t="str">
        <f aca="false">IF(A581="","",IFERROR(INDEX(Productos!$D$2:$D$1001,MATCH(A581,Productos!$A$2:$A$1001,0))&amp;" — "&amp;INDEX(Productos!$E$2:$E$1001,MATCH(A581,Productos!$A$2:$A$1001,0)),"SKU no existe en Productos"))</f>
        <v/>
      </c>
      <c r="C581" s="11"/>
      <c r="D581" s="11"/>
      <c r="E581" s="11"/>
      <c r="F581" s="12" t="str">
        <f aca="false">IF(A581="","",SUM(C581:E581))</f>
        <v/>
      </c>
      <c r="G581" s="16" t="str">
        <f aca="false">IF(A581="","",IFERROR(INDEX(Productos!$K$2:$K$1001,MATCH(A581,Productos!$A$2:$A$1001,0)),""))</f>
        <v/>
      </c>
      <c r="H581" s="16" t="str">
        <f aca="false">IF(OR(A581="",G581=""),"",F581*G581)</f>
        <v/>
      </c>
    </row>
    <row r="582" customFormat="false" ht="15" hidden="false" customHeight="false" outlineLevel="0" collapsed="false">
      <c r="A582" s="11"/>
      <c r="B582" s="12" t="str">
        <f aca="false">IF(A582="","",IFERROR(INDEX(Productos!$D$2:$D$1001,MATCH(A582,Productos!$A$2:$A$1001,0))&amp;" — "&amp;INDEX(Productos!$E$2:$E$1001,MATCH(A582,Productos!$A$2:$A$1001,0)),"SKU no existe en Productos"))</f>
        <v/>
      </c>
      <c r="C582" s="11"/>
      <c r="D582" s="11"/>
      <c r="E582" s="11"/>
      <c r="F582" s="12" t="str">
        <f aca="false">IF(A582="","",SUM(C582:E582))</f>
        <v/>
      </c>
      <c r="G582" s="16" t="str">
        <f aca="false">IF(A582="","",IFERROR(INDEX(Productos!$K$2:$K$1001,MATCH(A582,Productos!$A$2:$A$1001,0)),""))</f>
        <v/>
      </c>
      <c r="H582" s="16" t="str">
        <f aca="false">IF(OR(A582="",G582=""),"",F582*G582)</f>
        <v/>
      </c>
    </row>
    <row r="583" customFormat="false" ht="15" hidden="false" customHeight="false" outlineLevel="0" collapsed="false">
      <c r="A583" s="11"/>
      <c r="B583" s="12" t="str">
        <f aca="false">IF(A583="","",IFERROR(INDEX(Productos!$D$2:$D$1001,MATCH(A583,Productos!$A$2:$A$1001,0))&amp;" — "&amp;INDEX(Productos!$E$2:$E$1001,MATCH(A583,Productos!$A$2:$A$1001,0)),"SKU no existe en Productos"))</f>
        <v/>
      </c>
      <c r="C583" s="11"/>
      <c r="D583" s="11"/>
      <c r="E583" s="11"/>
      <c r="F583" s="12" t="str">
        <f aca="false">IF(A583="","",SUM(C583:E583))</f>
        <v/>
      </c>
      <c r="G583" s="16" t="str">
        <f aca="false">IF(A583="","",IFERROR(INDEX(Productos!$K$2:$K$1001,MATCH(A583,Productos!$A$2:$A$1001,0)),""))</f>
        <v/>
      </c>
      <c r="H583" s="16" t="str">
        <f aca="false">IF(OR(A583="",G583=""),"",F583*G583)</f>
        <v/>
      </c>
    </row>
    <row r="584" customFormat="false" ht="15" hidden="false" customHeight="false" outlineLevel="0" collapsed="false">
      <c r="A584" s="11"/>
      <c r="B584" s="12" t="str">
        <f aca="false">IF(A584="","",IFERROR(INDEX(Productos!$D$2:$D$1001,MATCH(A584,Productos!$A$2:$A$1001,0))&amp;" — "&amp;INDEX(Productos!$E$2:$E$1001,MATCH(A584,Productos!$A$2:$A$1001,0)),"SKU no existe en Productos"))</f>
        <v/>
      </c>
      <c r="C584" s="11"/>
      <c r="D584" s="11"/>
      <c r="E584" s="11"/>
      <c r="F584" s="12" t="str">
        <f aca="false">IF(A584="","",SUM(C584:E584))</f>
        <v/>
      </c>
      <c r="G584" s="16" t="str">
        <f aca="false">IF(A584="","",IFERROR(INDEX(Productos!$K$2:$K$1001,MATCH(A584,Productos!$A$2:$A$1001,0)),""))</f>
        <v/>
      </c>
      <c r="H584" s="16" t="str">
        <f aca="false">IF(OR(A584="",G584=""),"",F584*G584)</f>
        <v/>
      </c>
    </row>
    <row r="585" customFormat="false" ht="15" hidden="false" customHeight="false" outlineLevel="0" collapsed="false">
      <c r="A585" s="11"/>
      <c r="B585" s="12" t="str">
        <f aca="false">IF(A585="","",IFERROR(INDEX(Productos!$D$2:$D$1001,MATCH(A585,Productos!$A$2:$A$1001,0))&amp;" — "&amp;INDEX(Productos!$E$2:$E$1001,MATCH(A585,Productos!$A$2:$A$1001,0)),"SKU no existe en Productos"))</f>
        <v/>
      </c>
      <c r="C585" s="11"/>
      <c r="D585" s="11"/>
      <c r="E585" s="11"/>
      <c r="F585" s="12" t="str">
        <f aca="false">IF(A585="","",SUM(C585:E585))</f>
        <v/>
      </c>
      <c r="G585" s="16" t="str">
        <f aca="false">IF(A585="","",IFERROR(INDEX(Productos!$K$2:$K$1001,MATCH(A585,Productos!$A$2:$A$1001,0)),""))</f>
        <v/>
      </c>
      <c r="H585" s="16" t="str">
        <f aca="false">IF(OR(A585="",G585=""),"",F585*G585)</f>
        <v/>
      </c>
    </row>
    <row r="586" customFormat="false" ht="15" hidden="false" customHeight="false" outlineLevel="0" collapsed="false">
      <c r="A586" s="11"/>
      <c r="B586" s="12" t="str">
        <f aca="false">IF(A586="","",IFERROR(INDEX(Productos!$D$2:$D$1001,MATCH(A586,Productos!$A$2:$A$1001,0))&amp;" — "&amp;INDEX(Productos!$E$2:$E$1001,MATCH(A586,Productos!$A$2:$A$1001,0)),"SKU no existe en Productos"))</f>
        <v/>
      </c>
      <c r="C586" s="11"/>
      <c r="D586" s="11"/>
      <c r="E586" s="11"/>
      <c r="F586" s="12" t="str">
        <f aca="false">IF(A586="","",SUM(C586:E586))</f>
        <v/>
      </c>
      <c r="G586" s="16" t="str">
        <f aca="false">IF(A586="","",IFERROR(INDEX(Productos!$K$2:$K$1001,MATCH(A586,Productos!$A$2:$A$1001,0)),""))</f>
        <v/>
      </c>
      <c r="H586" s="16" t="str">
        <f aca="false">IF(OR(A586="",G586=""),"",F586*G586)</f>
        <v/>
      </c>
    </row>
    <row r="587" customFormat="false" ht="15" hidden="false" customHeight="false" outlineLevel="0" collapsed="false">
      <c r="A587" s="11"/>
      <c r="B587" s="12" t="str">
        <f aca="false">IF(A587="","",IFERROR(INDEX(Productos!$D$2:$D$1001,MATCH(A587,Productos!$A$2:$A$1001,0))&amp;" — "&amp;INDEX(Productos!$E$2:$E$1001,MATCH(A587,Productos!$A$2:$A$1001,0)),"SKU no existe en Productos"))</f>
        <v/>
      </c>
      <c r="C587" s="11"/>
      <c r="D587" s="11"/>
      <c r="E587" s="11"/>
      <c r="F587" s="12" t="str">
        <f aca="false">IF(A587="","",SUM(C587:E587))</f>
        <v/>
      </c>
      <c r="G587" s="16" t="str">
        <f aca="false">IF(A587="","",IFERROR(INDEX(Productos!$K$2:$K$1001,MATCH(A587,Productos!$A$2:$A$1001,0)),""))</f>
        <v/>
      </c>
      <c r="H587" s="16" t="str">
        <f aca="false">IF(OR(A587="",G587=""),"",F587*G587)</f>
        <v/>
      </c>
    </row>
    <row r="588" customFormat="false" ht="15" hidden="false" customHeight="false" outlineLevel="0" collapsed="false">
      <c r="A588" s="11"/>
      <c r="B588" s="12" t="str">
        <f aca="false">IF(A588="","",IFERROR(INDEX(Productos!$D$2:$D$1001,MATCH(A588,Productos!$A$2:$A$1001,0))&amp;" — "&amp;INDEX(Productos!$E$2:$E$1001,MATCH(A588,Productos!$A$2:$A$1001,0)),"SKU no existe en Productos"))</f>
        <v/>
      </c>
      <c r="C588" s="11"/>
      <c r="D588" s="11"/>
      <c r="E588" s="11"/>
      <c r="F588" s="12" t="str">
        <f aca="false">IF(A588="","",SUM(C588:E588))</f>
        <v/>
      </c>
      <c r="G588" s="16" t="str">
        <f aca="false">IF(A588="","",IFERROR(INDEX(Productos!$K$2:$K$1001,MATCH(A588,Productos!$A$2:$A$1001,0)),""))</f>
        <v/>
      </c>
      <c r="H588" s="16" t="str">
        <f aca="false">IF(OR(A588="",G588=""),"",F588*G588)</f>
        <v/>
      </c>
    </row>
    <row r="589" customFormat="false" ht="15" hidden="false" customHeight="false" outlineLevel="0" collapsed="false">
      <c r="A589" s="11"/>
      <c r="B589" s="12" t="str">
        <f aca="false">IF(A589="","",IFERROR(INDEX(Productos!$D$2:$D$1001,MATCH(A589,Productos!$A$2:$A$1001,0))&amp;" — "&amp;INDEX(Productos!$E$2:$E$1001,MATCH(A589,Productos!$A$2:$A$1001,0)),"SKU no existe en Productos"))</f>
        <v/>
      </c>
      <c r="C589" s="11"/>
      <c r="D589" s="11"/>
      <c r="E589" s="11"/>
      <c r="F589" s="12" t="str">
        <f aca="false">IF(A589="","",SUM(C589:E589))</f>
        <v/>
      </c>
      <c r="G589" s="16" t="str">
        <f aca="false">IF(A589="","",IFERROR(INDEX(Productos!$K$2:$K$1001,MATCH(A589,Productos!$A$2:$A$1001,0)),""))</f>
        <v/>
      </c>
      <c r="H589" s="16" t="str">
        <f aca="false">IF(OR(A589="",G589=""),"",F589*G589)</f>
        <v/>
      </c>
    </row>
    <row r="590" customFormat="false" ht="15" hidden="false" customHeight="false" outlineLevel="0" collapsed="false">
      <c r="A590" s="11"/>
      <c r="B590" s="12" t="str">
        <f aca="false">IF(A590="","",IFERROR(INDEX(Productos!$D$2:$D$1001,MATCH(A590,Productos!$A$2:$A$1001,0))&amp;" — "&amp;INDEX(Productos!$E$2:$E$1001,MATCH(A590,Productos!$A$2:$A$1001,0)),"SKU no existe en Productos"))</f>
        <v/>
      </c>
      <c r="C590" s="11"/>
      <c r="D590" s="11"/>
      <c r="E590" s="11"/>
      <c r="F590" s="12" t="str">
        <f aca="false">IF(A590="","",SUM(C590:E590))</f>
        <v/>
      </c>
      <c r="G590" s="16" t="str">
        <f aca="false">IF(A590="","",IFERROR(INDEX(Productos!$K$2:$K$1001,MATCH(A590,Productos!$A$2:$A$1001,0)),""))</f>
        <v/>
      </c>
      <c r="H590" s="16" t="str">
        <f aca="false">IF(OR(A590="",G590=""),"",F590*G590)</f>
        <v/>
      </c>
    </row>
    <row r="591" customFormat="false" ht="15" hidden="false" customHeight="false" outlineLevel="0" collapsed="false">
      <c r="A591" s="11"/>
      <c r="B591" s="12" t="str">
        <f aca="false">IF(A591="","",IFERROR(INDEX(Productos!$D$2:$D$1001,MATCH(A591,Productos!$A$2:$A$1001,0))&amp;" — "&amp;INDEX(Productos!$E$2:$E$1001,MATCH(A591,Productos!$A$2:$A$1001,0)),"SKU no existe en Productos"))</f>
        <v/>
      </c>
      <c r="C591" s="11"/>
      <c r="D591" s="11"/>
      <c r="E591" s="11"/>
      <c r="F591" s="12" t="str">
        <f aca="false">IF(A591="","",SUM(C591:E591))</f>
        <v/>
      </c>
      <c r="G591" s="16" t="str">
        <f aca="false">IF(A591="","",IFERROR(INDEX(Productos!$K$2:$K$1001,MATCH(A591,Productos!$A$2:$A$1001,0)),""))</f>
        <v/>
      </c>
      <c r="H591" s="16" t="str">
        <f aca="false">IF(OR(A591="",G591=""),"",F591*G591)</f>
        <v/>
      </c>
    </row>
    <row r="592" customFormat="false" ht="15" hidden="false" customHeight="false" outlineLevel="0" collapsed="false">
      <c r="A592" s="11"/>
      <c r="B592" s="12" t="str">
        <f aca="false">IF(A592="","",IFERROR(INDEX(Productos!$D$2:$D$1001,MATCH(A592,Productos!$A$2:$A$1001,0))&amp;" — "&amp;INDEX(Productos!$E$2:$E$1001,MATCH(A592,Productos!$A$2:$A$1001,0)),"SKU no existe en Productos"))</f>
        <v/>
      </c>
      <c r="C592" s="11"/>
      <c r="D592" s="11"/>
      <c r="E592" s="11"/>
      <c r="F592" s="12" t="str">
        <f aca="false">IF(A592="","",SUM(C592:E592))</f>
        <v/>
      </c>
      <c r="G592" s="16" t="str">
        <f aca="false">IF(A592="","",IFERROR(INDEX(Productos!$K$2:$K$1001,MATCH(A592,Productos!$A$2:$A$1001,0)),""))</f>
        <v/>
      </c>
      <c r="H592" s="16" t="str">
        <f aca="false">IF(OR(A592="",G592=""),"",F592*G592)</f>
        <v/>
      </c>
    </row>
    <row r="593" customFormat="false" ht="15" hidden="false" customHeight="false" outlineLevel="0" collapsed="false">
      <c r="A593" s="11"/>
      <c r="B593" s="12" t="str">
        <f aca="false">IF(A593="","",IFERROR(INDEX(Productos!$D$2:$D$1001,MATCH(A593,Productos!$A$2:$A$1001,0))&amp;" — "&amp;INDEX(Productos!$E$2:$E$1001,MATCH(A593,Productos!$A$2:$A$1001,0)),"SKU no existe en Productos"))</f>
        <v/>
      </c>
      <c r="C593" s="11"/>
      <c r="D593" s="11"/>
      <c r="E593" s="11"/>
      <c r="F593" s="12" t="str">
        <f aca="false">IF(A593="","",SUM(C593:E593))</f>
        <v/>
      </c>
      <c r="G593" s="16" t="str">
        <f aca="false">IF(A593="","",IFERROR(INDEX(Productos!$K$2:$K$1001,MATCH(A593,Productos!$A$2:$A$1001,0)),""))</f>
        <v/>
      </c>
      <c r="H593" s="16" t="str">
        <f aca="false">IF(OR(A593="",G593=""),"",F593*G593)</f>
        <v/>
      </c>
    </row>
    <row r="594" customFormat="false" ht="15" hidden="false" customHeight="false" outlineLevel="0" collapsed="false">
      <c r="A594" s="11"/>
      <c r="B594" s="12" t="str">
        <f aca="false">IF(A594="","",IFERROR(INDEX(Productos!$D$2:$D$1001,MATCH(A594,Productos!$A$2:$A$1001,0))&amp;" — "&amp;INDEX(Productos!$E$2:$E$1001,MATCH(A594,Productos!$A$2:$A$1001,0)),"SKU no existe en Productos"))</f>
        <v/>
      </c>
      <c r="C594" s="11"/>
      <c r="D594" s="11"/>
      <c r="E594" s="11"/>
      <c r="F594" s="12" t="str">
        <f aca="false">IF(A594="","",SUM(C594:E594))</f>
        <v/>
      </c>
      <c r="G594" s="16" t="str">
        <f aca="false">IF(A594="","",IFERROR(INDEX(Productos!$K$2:$K$1001,MATCH(A594,Productos!$A$2:$A$1001,0)),""))</f>
        <v/>
      </c>
      <c r="H594" s="16" t="str">
        <f aca="false">IF(OR(A594="",G594=""),"",F594*G594)</f>
        <v/>
      </c>
    </row>
    <row r="595" customFormat="false" ht="15" hidden="false" customHeight="false" outlineLevel="0" collapsed="false">
      <c r="A595" s="11"/>
      <c r="B595" s="12" t="str">
        <f aca="false">IF(A595="","",IFERROR(INDEX(Productos!$D$2:$D$1001,MATCH(A595,Productos!$A$2:$A$1001,0))&amp;" — "&amp;INDEX(Productos!$E$2:$E$1001,MATCH(A595,Productos!$A$2:$A$1001,0)),"SKU no existe en Productos"))</f>
        <v/>
      </c>
      <c r="C595" s="11"/>
      <c r="D595" s="11"/>
      <c r="E595" s="11"/>
      <c r="F595" s="12" t="str">
        <f aca="false">IF(A595="","",SUM(C595:E595))</f>
        <v/>
      </c>
      <c r="G595" s="16" t="str">
        <f aca="false">IF(A595="","",IFERROR(INDEX(Productos!$K$2:$K$1001,MATCH(A595,Productos!$A$2:$A$1001,0)),""))</f>
        <v/>
      </c>
      <c r="H595" s="16" t="str">
        <f aca="false">IF(OR(A595="",G595=""),"",F595*G595)</f>
        <v/>
      </c>
    </row>
    <row r="596" customFormat="false" ht="15" hidden="false" customHeight="false" outlineLevel="0" collapsed="false">
      <c r="A596" s="11"/>
      <c r="B596" s="12" t="str">
        <f aca="false">IF(A596="","",IFERROR(INDEX(Productos!$D$2:$D$1001,MATCH(A596,Productos!$A$2:$A$1001,0))&amp;" — "&amp;INDEX(Productos!$E$2:$E$1001,MATCH(A596,Productos!$A$2:$A$1001,0)),"SKU no existe en Productos"))</f>
        <v/>
      </c>
      <c r="C596" s="11"/>
      <c r="D596" s="11"/>
      <c r="E596" s="11"/>
      <c r="F596" s="12" t="str">
        <f aca="false">IF(A596="","",SUM(C596:E596))</f>
        <v/>
      </c>
      <c r="G596" s="16" t="str">
        <f aca="false">IF(A596="","",IFERROR(INDEX(Productos!$K$2:$K$1001,MATCH(A596,Productos!$A$2:$A$1001,0)),""))</f>
        <v/>
      </c>
      <c r="H596" s="16" t="str">
        <f aca="false">IF(OR(A596="",G596=""),"",F596*G596)</f>
        <v/>
      </c>
    </row>
    <row r="597" customFormat="false" ht="15" hidden="false" customHeight="false" outlineLevel="0" collapsed="false">
      <c r="A597" s="11"/>
      <c r="B597" s="12" t="str">
        <f aca="false">IF(A597="","",IFERROR(INDEX(Productos!$D$2:$D$1001,MATCH(A597,Productos!$A$2:$A$1001,0))&amp;" — "&amp;INDEX(Productos!$E$2:$E$1001,MATCH(A597,Productos!$A$2:$A$1001,0)),"SKU no existe en Productos"))</f>
        <v/>
      </c>
      <c r="C597" s="11"/>
      <c r="D597" s="11"/>
      <c r="E597" s="11"/>
      <c r="F597" s="12" t="str">
        <f aca="false">IF(A597="","",SUM(C597:E597))</f>
        <v/>
      </c>
      <c r="G597" s="16" t="str">
        <f aca="false">IF(A597="","",IFERROR(INDEX(Productos!$K$2:$K$1001,MATCH(A597,Productos!$A$2:$A$1001,0)),""))</f>
        <v/>
      </c>
      <c r="H597" s="16" t="str">
        <f aca="false">IF(OR(A597="",G597=""),"",F597*G597)</f>
        <v/>
      </c>
    </row>
    <row r="598" customFormat="false" ht="15" hidden="false" customHeight="false" outlineLevel="0" collapsed="false">
      <c r="A598" s="11"/>
      <c r="B598" s="12" t="str">
        <f aca="false">IF(A598="","",IFERROR(INDEX(Productos!$D$2:$D$1001,MATCH(A598,Productos!$A$2:$A$1001,0))&amp;" — "&amp;INDEX(Productos!$E$2:$E$1001,MATCH(A598,Productos!$A$2:$A$1001,0)),"SKU no existe en Productos"))</f>
        <v/>
      </c>
      <c r="C598" s="11"/>
      <c r="D598" s="11"/>
      <c r="E598" s="11"/>
      <c r="F598" s="12" t="str">
        <f aca="false">IF(A598="","",SUM(C598:E598))</f>
        <v/>
      </c>
      <c r="G598" s="16" t="str">
        <f aca="false">IF(A598="","",IFERROR(INDEX(Productos!$K$2:$K$1001,MATCH(A598,Productos!$A$2:$A$1001,0)),""))</f>
        <v/>
      </c>
      <c r="H598" s="16" t="str">
        <f aca="false">IF(OR(A598="",G598=""),"",F598*G598)</f>
        <v/>
      </c>
    </row>
    <row r="599" customFormat="false" ht="15" hidden="false" customHeight="false" outlineLevel="0" collapsed="false">
      <c r="A599" s="11"/>
      <c r="B599" s="12" t="str">
        <f aca="false">IF(A599="","",IFERROR(INDEX(Productos!$D$2:$D$1001,MATCH(A599,Productos!$A$2:$A$1001,0))&amp;" — "&amp;INDEX(Productos!$E$2:$E$1001,MATCH(A599,Productos!$A$2:$A$1001,0)),"SKU no existe en Productos"))</f>
        <v/>
      </c>
      <c r="C599" s="11"/>
      <c r="D599" s="11"/>
      <c r="E599" s="11"/>
      <c r="F599" s="12" t="str">
        <f aca="false">IF(A599="","",SUM(C599:E599))</f>
        <v/>
      </c>
      <c r="G599" s="16" t="str">
        <f aca="false">IF(A599="","",IFERROR(INDEX(Productos!$K$2:$K$1001,MATCH(A599,Productos!$A$2:$A$1001,0)),""))</f>
        <v/>
      </c>
      <c r="H599" s="16" t="str">
        <f aca="false">IF(OR(A599="",G599=""),"",F599*G599)</f>
        <v/>
      </c>
    </row>
    <row r="600" customFormat="false" ht="15" hidden="false" customHeight="false" outlineLevel="0" collapsed="false">
      <c r="A600" s="11"/>
      <c r="B600" s="12" t="str">
        <f aca="false">IF(A600="","",IFERROR(INDEX(Productos!$D$2:$D$1001,MATCH(A600,Productos!$A$2:$A$1001,0))&amp;" — "&amp;INDEX(Productos!$E$2:$E$1001,MATCH(A600,Productos!$A$2:$A$1001,0)),"SKU no existe en Productos"))</f>
        <v/>
      </c>
      <c r="C600" s="11"/>
      <c r="D600" s="11"/>
      <c r="E600" s="11"/>
      <c r="F600" s="12" t="str">
        <f aca="false">IF(A600="","",SUM(C600:E600))</f>
        <v/>
      </c>
      <c r="G600" s="16" t="str">
        <f aca="false">IF(A600="","",IFERROR(INDEX(Productos!$K$2:$K$1001,MATCH(A600,Productos!$A$2:$A$1001,0)),""))</f>
        <v/>
      </c>
      <c r="H600" s="16" t="str">
        <f aca="false">IF(OR(A600="",G600=""),"",F600*G600)</f>
        <v/>
      </c>
    </row>
    <row r="601" customFormat="false" ht="15" hidden="false" customHeight="false" outlineLevel="0" collapsed="false">
      <c r="A601" s="11"/>
      <c r="B601" s="12" t="str">
        <f aca="false">IF(A601="","",IFERROR(INDEX(Productos!$D$2:$D$1001,MATCH(A601,Productos!$A$2:$A$1001,0))&amp;" — "&amp;INDEX(Productos!$E$2:$E$1001,MATCH(A601,Productos!$A$2:$A$1001,0)),"SKU no existe en Productos"))</f>
        <v/>
      </c>
      <c r="C601" s="11"/>
      <c r="D601" s="11"/>
      <c r="E601" s="11"/>
      <c r="F601" s="12" t="str">
        <f aca="false">IF(A601="","",SUM(C601:E601))</f>
        <v/>
      </c>
      <c r="G601" s="16" t="str">
        <f aca="false">IF(A601="","",IFERROR(INDEX(Productos!$K$2:$K$1001,MATCH(A601,Productos!$A$2:$A$1001,0)),""))</f>
        <v/>
      </c>
      <c r="H601" s="16" t="str">
        <f aca="false">IF(OR(A601="",G601=""),"",F601*G601)</f>
        <v/>
      </c>
    </row>
    <row r="602" customFormat="false" ht="15" hidden="false" customHeight="false" outlineLevel="0" collapsed="false">
      <c r="A602" s="11"/>
      <c r="B602" s="12" t="str">
        <f aca="false">IF(A602="","",IFERROR(INDEX(Productos!$D$2:$D$1001,MATCH(A602,Productos!$A$2:$A$1001,0))&amp;" — "&amp;INDEX(Productos!$E$2:$E$1001,MATCH(A602,Productos!$A$2:$A$1001,0)),"SKU no existe en Productos"))</f>
        <v/>
      </c>
      <c r="C602" s="11"/>
      <c r="D602" s="11"/>
      <c r="E602" s="11"/>
      <c r="F602" s="12" t="str">
        <f aca="false">IF(A602="","",SUM(C602:E602))</f>
        <v/>
      </c>
      <c r="G602" s="16" t="str">
        <f aca="false">IF(A602="","",IFERROR(INDEX(Productos!$K$2:$K$1001,MATCH(A602,Productos!$A$2:$A$1001,0)),""))</f>
        <v/>
      </c>
      <c r="H602" s="16" t="str">
        <f aca="false">IF(OR(A602="",G602=""),"",F602*G602)</f>
        <v/>
      </c>
    </row>
    <row r="603" customFormat="false" ht="15" hidden="false" customHeight="false" outlineLevel="0" collapsed="false">
      <c r="A603" s="11"/>
      <c r="B603" s="12" t="str">
        <f aca="false">IF(A603="","",IFERROR(INDEX(Productos!$D$2:$D$1001,MATCH(A603,Productos!$A$2:$A$1001,0))&amp;" — "&amp;INDEX(Productos!$E$2:$E$1001,MATCH(A603,Productos!$A$2:$A$1001,0)),"SKU no existe en Productos"))</f>
        <v/>
      </c>
      <c r="C603" s="11"/>
      <c r="D603" s="11"/>
      <c r="E603" s="11"/>
      <c r="F603" s="12" t="str">
        <f aca="false">IF(A603="","",SUM(C603:E603))</f>
        <v/>
      </c>
      <c r="G603" s="16" t="str">
        <f aca="false">IF(A603="","",IFERROR(INDEX(Productos!$K$2:$K$1001,MATCH(A603,Productos!$A$2:$A$1001,0)),""))</f>
        <v/>
      </c>
      <c r="H603" s="16" t="str">
        <f aca="false">IF(OR(A603="",G603=""),"",F603*G603)</f>
        <v/>
      </c>
    </row>
    <row r="604" customFormat="false" ht="15" hidden="false" customHeight="false" outlineLevel="0" collapsed="false">
      <c r="A604" s="11"/>
      <c r="B604" s="12" t="str">
        <f aca="false">IF(A604="","",IFERROR(INDEX(Productos!$D$2:$D$1001,MATCH(A604,Productos!$A$2:$A$1001,0))&amp;" — "&amp;INDEX(Productos!$E$2:$E$1001,MATCH(A604,Productos!$A$2:$A$1001,0)),"SKU no existe en Productos"))</f>
        <v/>
      </c>
      <c r="C604" s="11"/>
      <c r="D604" s="11"/>
      <c r="E604" s="11"/>
      <c r="F604" s="12" t="str">
        <f aca="false">IF(A604="","",SUM(C604:E604))</f>
        <v/>
      </c>
      <c r="G604" s="16" t="str">
        <f aca="false">IF(A604="","",IFERROR(INDEX(Productos!$K$2:$K$1001,MATCH(A604,Productos!$A$2:$A$1001,0)),""))</f>
        <v/>
      </c>
      <c r="H604" s="16" t="str">
        <f aca="false">IF(OR(A604="",G604=""),"",F604*G604)</f>
        <v/>
      </c>
    </row>
    <row r="605" customFormat="false" ht="15" hidden="false" customHeight="false" outlineLevel="0" collapsed="false">
      <c r="A605" s="11"/>
      <c r="B605" s="12" t="str">
        <f aca="false">IF(A605="","",IFERROR(INDEX(Productos!$D$2:$D$1001,MATCH(A605,Productos!$A$2:$A$1001,0))&amp;" — "&amp;INDEX(Productos!$E$2:$E$1001,MATCH(A605,Productos!$A$2:$A$1001,0)),"SKU no existe en Productos"))</f>
        <v/>
      </c>
      <c r="C605" s="11"/>
      <c r="D605" s="11"/>
      <c r="E605" s="11"/>
      <c r="F605" s="12" t="str">
        <f aca="false">IF(A605="","",SUM(C605:E605))</f>
        <v/>
      </c>
      <c r="G605" s="16" t="str">
        <f aca="false">IF(A605="","",IFERROR(INDEX(Productos!$K$2:$K$1001,MATCH(A605,Productos!$A$2:$A$1001,0)),""))</f>
        <v/>
      </c>
      <c r="H605" s="16" t="str">
        <f aca="false">IF(OR(A605="",G605=""),"",F605*G605)</f>
        <v/>
      </c>
    </row>
    <row r="606" customFormat="false" ht="15" hidden="false" customHeight="false" outlineLevel="0" collapsed="false">
      <c r="A606" s="11"/>
      <c r="B606" s="12" t="str">
        <f aca="false">IF(A606="","",IFERROR(INDEX(Productos!$D$2:$D$1001,MATCH(A606,Productos!$A$2:$A$1001,0))&amp;" — "&amp;INDEX(Productos!$E$2:$E$1001,MATCH(A606,Productos!$A$2:$A$1001,0)),"SKU no existe en Productos"))</f>
        <v/>
      </c>
      <c r="C606" s="11"/>
      <c r="D606" s="11"/>
      <c r="E606" s="11"/>
      <c r="F606" s="12" t="str">
        <f aca="false">IF(A606="","",SUM(C606:E606))</f>
        <v/>
      </c>
      <c r="G606" s="16" t="str">
        <f aca="false">IF(A606="","",IFERROR(INDEX(Productos!$K$2:$K$1001,MATCH(A606,Productos!$A$2:$A$1001,0)),""))</f>
        <v/>
      </c>
      <c r="H606" s="16" t="str">
        <f aca="false">IF(OR(A606="",G606=""),"",F606*G606)</f>
        <v/>
      </c>
    </row>
    <row r="607" customFormat="false" ht="15" hidden="false" customHeight="false" outlineLevel="0" collapsed="false">
      <c r="A607" s="11"/>
      <c r="B607" s="12" t="str">
        <f aca="false">IF(A607="","",IFERROR(INDEX(Productos!$D$2:$D$1001,MATCH(A607,Productos!$A$2:$A$1001,0))&amp;" — "&amp;INDEX(Productos!$E$2:$E$1001,MATCH(A607,Productos!$A$2:$A$1001,0)),"SKU no existe en Productos"))</f>
        <v/>
      </c>
      <c r="C607" s="11"/>
      <c r="D607" s="11"/>
      <c r="E607" s="11"/>
      <c r="F607" s="12" t="str">
        <f aca="false">IF(A607="","",SUM(C607:E607))</f>
        <v/>
      </c>
      <c r="G607" s="16" t="str">
        <f aca="false">IF(A607="","",IFERROR(INDEX(Productos!$K$2:$K$1001,MATCH(A607,Productos!$A$2:$A$1001,0)),""))</f>
        <v/>
      </c>
      <c r="H607" s="16" t="str">
        <f aca="false">IF(OR(A607="",G607=""),"",F607*G607)</f>
        <v/>
      </c>
    </row>
    <row r="608" customFormat="false" ht="15" hidden="false" customHeight="false" outlineLevel="0" collapsed="false">
      <c r="A608" s="11"/>
      <c r="B608" s="12" t="str">
        <f aca="false">IF(A608="","",IFERROR(INDEX(Productos!$D$2:$D$1001,MATCH(A608,Productos!$A$2:$A$1001,0))&amp;" — "&amp;INDEX(Productos!$E$2:$E$1001,MATCH(A608,Productos!$A$2:$A$1001,0)),"SKU no existe en Productos"))</f>
        <v/>
      </c>
      <c r="C608" s="11"/>
      <c r="D608" s="11"/>
      <c r="E608" s="11"/>
      <c r="F608" s="12" t="str">
        <f aca="false">IF(A608="","",SUM(C608:E608))</f>
        <v/>
      </c>
      <c r="G608" s="16" t="str">
        <f aca="false">IF(A608="","",IFERROR(INDEX(Productos!$K$2:$K$1001,MATCH(A608,Productos!$A$2:$A$1001,0)),""))</f>
        <v/>
      </c>
      <c r="H608" s="16" t="str">
        <f aca="false">IF(OR(A608="",G608=""),"",F608*G608)</f>
        <v/>
      </c>
    </row>
    <row r="609" customFormat="false" ht="15" hidden="false" customHeight="false" outlineLevel="0" collapsed="false">
      <c r="A609" s="11"/>
      <c r="B609" s="12" t="str">
        <f aca="false">IF(A609="","",IFERROR(INDEX(Productos!$D$2:$D$1001,MATCH(A609,Productos!$A$2:$A$1001,0))&amp;" — "&amp;INDEX(Productos!$E$2:$E$1001,MATCH(A609,Productos!$A$2:$A$1001,0)),"SKU no existe en Productos"))</f>
        <v/>
      </c>
      <c r="C609" s="11"/>
      <c r="D609" s="11"/>
      <c r="E609" s="11"/>
      <c r="F609" s="12" t="str">
        <f aca="false">IF(A609="","",SUM(C609:E609))</f>
        <v/>
      </c>
      <c r="G609" s="16" t="str">
        <f aca="false">IF(A609="","",IFERROR(INDEX(Productos!$K$2:$K$1001,MATCH(A609,Productos!$A$2:$A$1001,0)),""))</f>
        <v/>
      </c>
      <c r="H609" s="16" t="str">
        <f aca="false">IF(OR(A609="",G609=""),"",F609*G609)</f>
        <v/>
      </c>
    </row>
    <row r="610" customFormat="false" ht="15" hidden="false" customHeight="false" outlineLevel="0" collapsed="false">
      <c r="A610" s="11"/>
      <c r="B610" s="12" t="str">
        <f aca="false">IF(A610="","",IFERROR(INDEX(Productos!$D$2:$D$1001,MATCH(A610,Productos!$A$2:$A$1001,0))&amp;" — "&amp;INDEX(Productos!$E$2:$E$1001,MATCH(A610,Productos!$A$2:$A$1001,0)),"SKU no existe en Productos"))</f>
        <v/>
      </c>
      <c r="C610" s="11"/>
      <c r="D610" s="11"/>
      <c r="E610" s="11"/>
      <c r="F610" s="12" t="str">
        <f aca="false">IF(A610="","",SUM(C610:E610))</f>
        <v/>
      </c>
      <c r="G610" s="16" t="str">
        <f aca="false">IF(A610="","",IFERROR(INDEX(Productos!$K$2:$K$1001,MATCH(A610,Productos!$A$2:$A$1001,0)),""))</f>
        <v/>
      </c>
      <c r="H610" s="16" t="str">
        <f aca="false">IF(OR(A610="",G610=""),"",F610*G610)</f>
        <v/>
      </c>
    </row>
    <row r="611" customFormat="false" ht="15" hidden="false" customHeight="false" outlineLevel="0" collapsed="false">
      <c r="A611" s="11"/>
      <c r="B611" s="12" t="str">
        <f aca="false">IF(A611="","",IFERROR(INDEX(Productos!$D$2:$D$1001,MATCH(A611,Productos!$A$2:$A$1001,0))&amp;" — "&amp;INDEX(Productos!$E$2:$E$1001,MATCH(A611,Productos!$A$2:$A$1001,0)),"SKU no existe en Productos"))</f>
        <v/>
      </c>
      <c r="C611" s="11"/>
      <c r="D611" s="11"/>
      <c r="E611" s="11"/>
      <c r="F611" s="12" t="str">
        <f aca="false">IF(A611="","",SUM(C611:E611))</f>
        <v/>
      </c>
      <c r="G611" s="16" t="str">
        <f aca="false">IF(A611="","",IFERROR(INDEX(Productos!$K$2:$K$1001,MATCH(A611,Productos!$A$2:$A$1001,0)),""))</f>
        <v/>
      </c>
      <c r="H611" s="16" t="str">
        <f aca="false">IF(OR(A611="",G611=""),"",F611*G611)</f>
        <v/>
      </c>
    </row>
    <row r="612" customFormat="false" ht="15" hidden="false" customHeight="false" outlineLevel="0" collapsed="false">
      <c r="A612" s="11"/>
      <c r="B612" s="12" t="str">
        <f aca="false">IF(A612="","",IFERROR(INDEX(Productos!$D$2:$D$1001,MATCH(A612,Productos!$A$2:$A$1001,0))&amp;" — "&amp;INDEX(Productos!$E$2:$E$1001,MATCH(A612,Productos!$A$2:$A$1001,0)),"SKU no existe en Productos"))</f>
        <v/>
      </c>
      <c r="C612" s="11"/>
      <c r="D612" s="11"/>
      <c r="E612" s="11"/>
      <c r="F612" s="12" t="str">
        <f aca="false">IF(A612="","",SUM(C612:E612))</f>
        <v/>
      </c>
      <c r="G612" s="16" t="str">
        <f aca="false">IF(A612="","",IFERROR(INDEX(Productos!$K$2:$K$1001,MATCH(A612,Productos!$A$2:$A$1001,0)),""))</f>
        <v/>
      </c>
      <c r="H612" s="16" t="str">
        <f aca="false">IF(OR(A612="",G612=""),"",F612*G612)</f>
        <v/>
      </c>
    </row>
    <row r="613" customFormat="false" ht="15" hidden="false" customHeight="false" outlineLevel="0" collapsed="false">
      <c r="A613" s="11"/>
      <c r="B613" s="12" t="str">
        <f aca="false">IF(A613="","",IFERROR(INDEX(Productos!$D$2:$D$1001,MATCH(A613,Productos!$A$2:$A$1001,0))&amp;" — "&amp;INDEX(Productos!$E$2:$E$1001,MATCH(A613,Productos!$A$2:$A$1001,0)),"SKU no existe en Productos"))</f>
        <v/>
      </c>
      <c r="C613" s="11"/>
      <c r="D613" s="11"/>
      <c r="E613" s="11"/>
      <c r="F613" s="12" t="str">
        <f aca="false">IF(A613="","",SUM(C613:E613))</f>
        <v/>
      </c>
      <c r="G613" s="16" t="str">
        <f aca="false">IF(A613="","",IFERROR(INDEX(Productos!$K$2:$K$1001,MATCH(A613,Productos!$A$2:$A$1001,0)),""))</f>
        <v/>
      </c>
      <c r="H613" s="16" t="str">
        <f aca="false">IF(OR(A613="",G613=""),"",F613*G613)</f>
        <v/>
      </c>
    </row>
    <row r="614" customFormat="false" ht="15" hidden="false" customHeight="false" outlineLevel="0" collapsed="false">
      <c r="A614" s="11"/>
      <c r="B614" s="12" t="str">
        <f aca="false">IF(A614="","",IFERROR(INDEX(Productos!$D$2:$D$1001,MATCH(A614,Productos!$A$2:$A$1001,0))&amp;" — "&amp;INDEX(Productos!$E$2:$E$1001,MATCH(A614,Productos!$A$2:$A$1001,0)),"SKU no existe en Productos"))</f>
        <v/>
      </c>
      <c r="C614" s="11"/>
      <c r="D614" s="11"/>
      <c r="E614" s="11"/>
      <c r="F614" s="12" t="str">
        <f aca="false">IF(A614="","",SUM(C614:E614))</f>
        <v/>
      </c>
      <c r="G614" s="16" t="str">
        <f aca="false">IF(A614="","",IFERROR(INDEX(Productos!$K$2:$K$1001,MATCH(A614,Productos!$A$2:$A$1001,0)),""))</f>
        <v/>
      </c>
      <c r="H614" s="16" t="str">
        <f aca="false">IF(OR(A614="",G614=""),"",F614*G614)</f>
        <v/>
      </c>
    </row>
    <row r="615" customFormat="false" ht="15" hidden="false" customHeight="false" outlineLevel="0" collapsed="false">
      <c r="A615" s="11"/>
      <c r="B615" s="12" t="str">
        <f aca="false">IF(A615="","",IFERROR(INDEX(Productos!$D$2:$D$1001,MATCH(A615,Productos!$A$2:$A$1001,0))&amp;" — "&amp;INDEX(Productos!$E$2:$E$1001,MATCH(A615,Productos!$A$2:$A$1001,0)),"SKU no existe en Productos"))</f>
        <v/>
      </c>
      <c r="C615" s="11"/>
      <c r="D615" s="11"/>
      <c r="E615" s="11"/>
      <c r="F615" s="12" t="str">
        <f aca="false">IF(A615="","",SUM(C615:E615))</f>
        <v/>
      </c>
      <c r="G615" s="16" t="str">
        <f aca="false">IF(A615="","",IFERROR(INDEX(Productos!$K$2:$K$1001,MATCH(A615,Productos!$A$2:$A$1001,0)),""))</f>
        <v/>
      </c>
      <c r="H615" s="16" t="str">
        <f aca="false">IF(OR(A615="",G615=""),"",F615*G615)</f>
        <v/>
      </c>
    </row>
    <row r="616" customFormat="false" ht="15" hidden="false" customHeight="false" outlineLevel="0" collapsed="false">
      <c r="A616" s="11"/>
      <c r="B616" s="12" t="str">
        <f aca="false">IF(A616="","",IFERROR(INDEX(Productos!$D$2:$D$1001,MATCH(A616,Productos!$A$2:$A$1001,0))&amp;" — "&amp;INDEX(Productos!$E$2:$E$1001,MATCH(A616,Productos!$A$2:$A$1001,0)),"SKU no existe en Productos"))</f>
        <v/>
      </c>
      <c r="C616" s="11"/>
      <c r="D616" s="11"/>
      <c r="E616" s="11"/>
      <c r="F616" s="12" t="str">
        <f aca="false">IF(A616="","",SUM(C616:E616))</f>
        <v/>
      </c>
      <c r="G616" s="16" t="str">
        <f aca="false">IF(A616="","",IFERROR(INDEX(Productos!$K$2:$K$1001,MATCH(A616,Productos!$A$2:$A$1001,0)),""))</f>
        <v/>
      </c>
      <c r="H616" s="16" t="str">
        <f aca="false">IF(OR(A616="",G616=""),"",F616*G616)</f>
        <v/>
      </c>
    </row>
    <row r="617" customFormat="false" ht="15" hidden="false" customHeight="false" outlineLevel="0" collapsed="false">
      <c r="A617" s="11"/>
      <c r="B617" s="12" t="str">
        <f aca="false">IF(A617="","",IFERROR(INDEX(Productos!$D$2:$D$1001,MATCH(A617,Productos!$A$2:$A$1001,0))&amp;" — "&amp;INDEX(Productos!$E$2:$E$1001,MATCH(A617,Productos!$A$2:$A$1001,0)),"SKU no existe en Productos"))</f>
        <v/>
      </c>
      <c r="C617" s="11"/>
      <c r="D617" s="11"/>
      <c r="E617" s="11"/>
      <c r="F617" s="12" t="str">
        <f aca="false">IF(A617="","",SUM(C617:E617))</f>
        <v/>
      </c>
      <c r="G617" s="16" t="str">
        <f aca="false">IF(A617="","",IFERROR(INDEX(Productos!$K$2:$K$1001,MATCH(A617,Productos!$A$2:$A$1001,0)),""))</f>
        <v/>
      </c>
      <c r="H617" s="16" t="str">
        <f aca="false">IF(OR(A617="",G617=""),"",F617*G617)</f>
        <v/>
      </c>
    </row>
    <row r="618" customFormat="false" ht="15" hidden="false" customHeight="false" outlineLevel="0" collapsed="false">
      <c r="A618" s="11"/>
      <c r="B618" s="12" t="str">
        <f aca="false">IF(A618="","",IFERROR(INDEX(Productos!$D$2:$D$1001,MATCH(A618,Productos!$A$2:$A$1001,0))&amp;" — "&amp;INDEX(Productos!$E$2:$E$1001,MATCH(A618,Productos!$A$2:$A$1001,0)),"SKU no existe en Productos"))</f>
        <v/>
      </c>
      <c r="C618" s="11"/>
      <c r="D618" s="11"/>
      <c r="E618" s="11"/>
      <c r="F618" s="12" t="str">
        <f aca="false">IF(A618="","",SUM(C618:E618))</f>
        <v/>
      </c>
      <c r="G618" s="16" t="str">
        <f aca="false">IF(A618="","",IFERROR(INDEX(Productos!$K$2:$K$1001,MATCH(A618,Productos!$A$2:$A$1001,0)),""))</f>
        <v/>
      </c>
      <c r="H618" s="16" t="str">
        <f aca="false">IF(OR(A618="",G618=""),"",F618*G618)</f>
        <v/>
      </c>
    </row>
    <row r="619" customFormat="false" ht="15" hidden="false" customHeight="false" outlineLevel="0" collapsed="false">
      <c r="A619" s="11"/>
      <c r="B619" s="12" t="str">
        <f aca="false">IF(A619="","",IFERROR(INDEX(Productos!$D$2:$D$1001,MATCH(A619,Productos!$A$2:$A$1001,0))&amp;" — "&amp;INDEX(Productos!$E$2:$E$1001,MATCH(A619,Productos!$A$2:$A$1001,0)),"SKU no existe en Productos"))</f>
        <v/>
      </c>
      <c r="C619" s="11"/>
      <c r="D619" s="11"/>
      <c r="E619" s="11"/>
      <c r="F619" s="12" t="str">
        <f aca="false">IF(A619="","",SUM(C619:E619))</f>
        <v/>
      </c>
      <c r="G619" s="16" t="str">
        <f aca="false">IF(A619="","",IFERROR(INDEX(Productos!$K$2:$K$1001,MATCH(A619,Productos!$A$2:$A$1001,0)),""))</f>
        <v/>
      </c>
      <c r="H619" s="16" t="str">
        <f aca="false">IF(OR(A619="",G619=""),"",F619*G619)</f>
        <v/>
      </c>
    </row>
    <row r="620" customFormat="false" ht="15" hidden="false" customHeight="false" outlineLevel="0" collapsed="false">
      <c r="A620" s="11"/>
      <c r="B620" s="12" t="str">
        <f aca="false">IF(A620="","",IFERROR(INDEX(Productos!$D$2:$D$1001,MATCH(A620,Productos!$A$2:$A$1001,0))&amp;" — "&amp;INDEX(Productos!$E$2:$E$1001,MATCH(A620,Productos!$A$2:$A$1001,0)),"SKU no existe en Productos"))</f>
        <v/>
      </c>
      <c r="C620" s="11"/>
      <c r="D620" s="11"/>
      <c r="E620" s="11"/>
      <c r="F620" s="12" t="str">
        <f aca="false">IF(A620="","",SUM(C620:E620))</f>
        <v/>
      </c>
      <c r="G620" s="16" t="str">
        <f aca="false">IF(A620="","",IFERROR(INDEX(Productos!$K$2:$K$1001,MATCH(A620,Productos!$A$2:$A$1001,0)),""))</f>
        <v/>
      </c>
      <c r="H620" s="16" t="str">
        <f aca="false">IF(OR(A620="",G620=""),"",F620*G620)</f>
        <v/>
      </c>
    </row>
    <row r="621" customFormat="false" ht="15" hidden="false" customHeight="false" outlineLevel="0" collapsed="false">
      <c r="A621" s="11"/>
      <c r="B621" s="12" t="str">
        <f aca="false">IF(A621="","",IFERROR(INDEX(Productos!$D$2:$D$1001,MATCH(A621,Productos!$A$2:$A$1001,0))&amp;" — "&amp;INDEX(Productos!$E$2:$E$1001,MATCH(A621,Productos!$A$2:$A$1001,0)),"SKU no existe en Productos"))</f>
        <v/>
      </c>
      <c r="C621" s="11"/>
      <c r="D621" s="11"/>
      <c r="E621" s="11"/>
      <c r="F621" s="12" t="str">
        <f aca="false">IF(A621="","",SUM(C621:E621))</f>
        <v/>
      </c>
      <c r="G621" s="16" t="str">
        <f aca="false">IF(A621="","",IFERROR(INDEX(Productos!$K$2:$K$1001,MATCH(A621,Productos!$A$2:$A$1001,0)),""))</f>
        <v/>
      </c>
      <c r="H621" s="16" t="str">
        <f aca="false">IF(OR(A621="",G621=""),"",F621*G621)</f>
        <v/>
      </c>
    </row>
    <row r="622" customFormat="false" ht="15" hidden="false" customHeight="false" outlineLevel="0" collapsed="false">
      <c r="A622" s="11"/>
      <c r="B622" s="12" t="str">
        <f aca="false">IF(A622="","",IFERROR(INDEX(Productos!$D$2:$D$1001,MATCH(A622,Productos!$A$2:$A$1001,0))&amp;" — "&amp;INDEX(Productos!$E$2:$E$1001,MATCH(A622,Productos!$A$2:$A$1001,0)),"SKU no existe en Productos"))</f>
        <v/>
      </c>
      <c r="C622" s="11"/>
      <c r="D622" s="11"/>
      <c r="E622" s="11"/>
      <c r="F622" s="12" t="str">
        <f aca="false">IF(A622="","",SUM(C622:E622))</f>
        <v/>
      </c>
      <c r="G622" s="16" t="str">
        <f aca="false">IF(A622="","",IFERROR(INDEX(Productos!$K$2:$K$1001,MATCH(A622,Productos!$A$2:$A$1001,0)),""))</f>
        <v/>
      </c>
      <c r="H622" s="16" t="str">
        <f aca="false">IF(OR(A622="",G622=""),"",F622*G622)</f>
        <v/>
      </c>
    </row>
    <row r="623" customFormat="false" ht="15" hidden="false" customHeight="false" outlineLevel="0" collapsed="false">
      <c r="A623" s="11"/>
      <c r="B623" s="12" t="str">
        <f aca="false">IF(A623="","",IFERROR(INDEX(Productos!$D$2:$D$1001,MATCH(A623,Productos!$A$2:$A$1001,0))&amp;" — "&amp;INDEX(Productos!$E$2:$E$1001,MATCH(A623,Productos!$A$2:$A$1001,0)),"SKU no existe en Productos"))</f>
        <v/>
      </c>
      <c r="C623" s="11"/>
      <c r="D623" s="11"/>
      <c r="E623" s="11"/>
      <c r="F623" s="12" t="str">
        <f aca="false">IF(A623="","",SUM(C623:E623))</f>
        <v/>
      </c>
      <c r="G623" s="16" t="str">
        <f aca="false">IF(A623="","",IFERROR(INDEX(Productos!$K$2:$K$1001,MATCH(A623,Productos!$A$2:$A$1001,0)),""))</f>
        <v/>
      </c>
      <c r="H623" s="16" t="str">
        <f aca="false">IF(OR(A623="",G623=""),"",F623*G623)</f>
        <v/>
      </c>
    </row>
    <row r="624" customFormat="false" ht="15" hidden="false" customHeight="false" outlineLevel="0" collapsed="false">
      <c r="A624" s="11"/>
      <c r="B624" s="12" t="str">
        <f aca="false">IF(A624="","",IFERROR(INDEX(Productos!$D$2:$D$1001,MATCH(A624,Productos!$A$2:$A$1001,0))&amp;" — "&amp;INDEX(Productos!$E$2:$E$1001,MATCH(A624,Productos!$A$2:$A$1001,0)),"SKU no existe en Productos"))</f>
        <v/>
      </c>
      <c r="C624" s="11"/>
      <c r="D624" s="11"/>
      <c r="E624" s="11"/>
      <c r="F624" s="12" t="str">
        <f aca="false">IF(A624="","",SUM(C624:E624))</f>
        <v/>
      </c>
      <c r="G624" s="16" t="str">
        <f aca="false">IF(A624="","",IFERROR(INDEX(Productos!$K$2:$K$1001,MATCH(A624,Productos!$A$2:$A$1001,0)),""))</f>
        <v/>
      </c>
      <c r="H624" s="16" t="str">
        <f aca="false">IF(OR(A624="",G624=""),"",F624*G624)</f>
        <v/>
      </c>
    </row>
    <row r="625" customFormat="false" ht="15" hidden="false" customHeight="false" outlineLevel="0" collapsed="false">
      <c r="A625" s="11"/>
      <c r="B625" s="12" t="str">
        <f aca="false">IF(A625="","",IFERROR(INDEX(Productos!$D$2:$D$1001,MATCH(A625,Productos!$A$2:$A$1001,0))&amp;" — "&amp;INDEX(Productos!$E$2:$E$1001,MATCH(A625,Productos!$A$2:$A$1001,0)),"SKU no existe en Productos"))</f>
        <v/>
      </c>
      <c r="C625" s="11"/>
      <c r="D625" s="11"/>
      <c r="E625" s="11"/>
      <c r="F625" s="12" t="str">
        <f aca="false">IF(A625="","",SUM(C625:E625))</f>
        <v/>
      </c>
      <c r="G625" s="16" t="str">
        <f aca="false">IF(A625="","",IFERROR(INDEX(Productos!$K$2:$K$1001,MATCH(A625,Productos!$A$2:$A$1001,0)),""))</f>
        <v/>
      </c>
      <c r="H625" s="16" t="str">
        <f aca="false">IF(OR(A625="",G625=""),"",F625*G625)</f>
        <v/>
      </c>
    </row>
    <row r="626" customFormat="false" ht="15" hidden="false" customHeight="false" outlineLevel="0" collapsed="false">
      <c r="A626" s="11"/>
      <c r="B626" s="12" t="str">
        <f aca="false">IF(A626="","",IFERROR(INDEX(Productos!$D$2:$D$1001,MATCH(A626,Productos!$A$2:$A$1001,0))&amp;" — "&amp;INDEX(Productos!$E$2:$E$1001,MATCH(A626,Productos!$A$2:$A$1001,0)),"SKU no existe en Productos"))</f>
        <v/>
      </c>
      <c r="C626" s="11"/>
      <c r="D626" s="11"/>
      <c r="E626" s="11"/>
      <c r="F626" s="12" t="str">
        <f aca="false">IF(A626="","",SUM(C626:E626))</f>
        <v/>
      </c>
      <c r="G626" s="16" t="str">
        <f aca="false">IF(A626="","",IFERROR(INDEX(Productos!$K$2:$K$1001,MATCH(A626,Productos!$A$2:$A$1001,0)),""))</f>
        <v/>
      </c>
      <c r="H626" s="16" t="str">
        <f aca="false">IF(OR(A626="",G626=""),"",F626*G626)</f>
        <v/>
      </c>
    </row>
    <row r="627" customFormat="false" ht="15" hidden="false" customHeight="false" outlineLevel="0" collapsed="false">
      <c r="A627" s="11"/>
      <c r="B627" s="12" t="str">
        <f aca="false">IF(A627="","",IFERROR(INDEX(Productos!$D$2:$D$1001,MATCH(A627,Productos!$A$2:$A$1001,0))&amp;" — "&amp;INDEX(Productos!$E$2:$E$1001,MATCH(A627,Productos!$A$2:$A$1001,0)),"SKU no existe en Productos"))</f>
        <v/>
      </c>
      <c r="C627" s="11"/>
      <c r="D627" s="11"/>
      <c r="E627" s="11"/>
      <c r="F627" s="12" t="str">
        <f aca="false">IF(A627="","",SUM(C627:E627))</f>
        <v/>
      </c>
      <c r="G627" s="16" t="str">
        <f aca="false">IF(A627="","",IFERROR(INDEX(Productos!$K$2:$K$1001,MATCH(A627,Productos!$A$2:$A$1001,0)),""))</f>
        <v/>
      </c>
      <c r="H627" s="16" t="str">
        <f aca="false">IF(OR(A627="",G627=""),"",F627*G627)</f>
        <v/>
      </c>
    </row>
    <row r="628" customFormat="false" ht="15" hidden="false" customHeight="false" outlineLevel="0" collapsed="false">
      <c r="A628" s="11"/>
      <c r="B628" s="12" t="str">
        <f aca="false">IF(A628="","",IFERROR(INDEX(Productos!$D$2:$D$1001,MATCH(A628,Productos!$A$2:$A$1001,0))&amp;" — "&amp;INDEX(Productos!$E$2:$E$1001,MATCH(A628,Productos!$A$2:$A$1001,0)),"SKU no existe en Productos"))</f>
        <v/>
      </c>
      <c r="C628" s="11"/>
      <c r="D628" s="11"/>
      <c r="E628" s="11"/>
      <c r="F628" s="12" t="str">
        <f aca="false">IF(A628="","",SUM(C628:E628))</f>
        <v/>
      </c>
      <c r="G628" s="16" t="str">
        <f aca="false">IF(A628="","",IFERROR(INDEX(Productos!$K$2:$K$1001,MATCH(A628,Productos!$A$2:$A$1001,0)),""))</f>
        <v/>
      </c>
      <c r="H628" s="16" t="str">
        <f aca="false">IF(OR(A628="",G628=""),"",F628*G628)</f>
        <v/>
      </c>
    </row>
    <row r="629" customFormat="false" ht="15" hidden="false" customHeight="false" outlineLevel="0" collapsed="false">
      <c r="A629" s="11"/>
      <c r="B629" s="12" t="str">
        <f aca="false">IF(A629="","",IFERROR(INDEX(Productos!$D$2:$D$1001,MATCH(A629,Productos!$A$2:$A$1001,0))&amp;" — "&amp;INDEX(Productos!$E$2:$E$1001,MATCH(A629,Productos!$A$2:$A$1001,0)),"SKU no existe en Productos"))</f>
        <v/>
      </c>
      <c r="C629" s="11"/>
      <c r="D629" s="11"/>
      <c r="E629" s="11"/>
      <c r="F629" s="12" t="str">
        <f aca="false">IF(A629="","",SUM(C629:E629))</f>
        <v/>
      </c>
      <c r="G629" s="16" t="str">
        <f aca="false">IF(A629="","",IFERROR(INDEX(Productos!$K$2:$K$1001,MATCH(A629,Productos!$A$2:$A$1001,0)),""))</f>
        <v/>
      </c>
      <c r="H629" s="16" t="str">
        <f aca="false">IF(OR(A629="",G629=""),"",F629*G629)</f>
        <v/>
      </c>
    </row>
    <row r="630" customFormat="false" ht="15" hidden="false" customHeight="false" outlineLevel="0" collapsed="false">
      <c r="A630" s="11"/>
      <c r="B630" s="12" t="str">
        <f aca="false">IF(A630="","",IFERROR(INDEX(Productos!$D$2:$D$1001,MATCH(A630,Productos!$A$2:$A$1001,0))&amp;" — "&amp;INDEX(Productos!$E$2:$E$1001,MATCH(A630,Productos!$A$2:$A$1001,0)),"SKU no existe en Productos"))</f>
        <v/>
      </c>
      <c r="C630" s="11"/>
      <c r="D630" s="11"/>
      <c r="E630" s="11"/>
      <c r="F630" s="12" t="str">
        <f aca="false">IF(A630="","",SUM(C630:E630))</f>
        <v/>
      </c>
      <c r="G630" s="16" t="str">
        <f aca="false">IF(A630="","",IFERROR(INDEX(Productos!$K$2:$K$1001,MATCH(A630,Productos!$A$2:$A$1001,0)),""))</f>
        <v/>
      </c>
      <c r="H630" s="16" t="str">
        <f aca="false">IF(OR(A630="",G630=""),"",F630*G630)</f>
        <v/>
      </c>
    </row>
    <row r="631" customFormat="false" ht="15" hidden="false" customHeight="false" outlineLevel="0" collapsed="false">
      <c r="A631" s="11"/>
      <c r="B631" s="12" t="str">
        <f aca="false">IF(A631="","",IFERROR(INDEX(Productos!$D$2:$D$1001,MATCH(A631,Productos!$A$2:$A$1001,0))&amp;" — "&amp;INDEX(Productos!$E$2:$E$1001,MATCH(A631,Productos!$A$2:$A$1001,0)),"SKU no existe en Productos"))</f>
        <v/>
      </c>
      <c r="C631" s="11"/>
      <c r="D631" s="11"/>
      <c r="E631" s="11"/>
      <c r="F631" s="12" t="str">
        <f aca="false">IF(A631="","",SUM(C631:E631))</f>
        <v/>
      </c>
      <c r="G631" s="16" t="str">
        <f aca="false">IF(A631="","",IFERROR(INDEX(Productos!$K$2:$K$1001,MATCH(A631,Productos!$A$2:$A$1001,0)),""))</f>
        <v/>
      </c>
      <c r="H631" s="16" t="str">
        <f aca="false">IF(OR(A631="",G631=""),"",F631*G631)</f>
        <v/>
      </c>
    </row>
    <row r="632" customFormat="false" ht="15" hidden="false" customHeight="false" outlineLevel="0" collapsed="false">
      <c r="A632" s="11"/>
      <c r="B632" s="12" t="str">
        <f aca="false">IF(A632="","",IFERROR(INDEX(Productos!$D$2:$D$1001,MATCH(A632,Productos!$A$2:$A$1001,0))&amp;" — "&amp;INDEX(Productos!$E$2:$E$1001,MATCH(A632,Productos!$A$2:$A$1001,0)),"SKU no existe en Productos"))</f>
        <v/>
      </c>
      <c r="C632" s="11"/>
      <c r="D632" s="11"/>
      <c r="E632" s="11"/>
      <c r="F632" s="12" t="str">
        <f aca="false">IF(A632="","",SUM(C632:E632))</f>
        <v/>
      </c>
      <c r="G632" s="16" t="str">
        <f aca="false">IF(A632="","",IFERROR(INDEX(Productos!$K$2:$K$1001,MATCH(A632,Productos!$A$2:$A$1001,0)),""))</f>
        <v/>
      </c>
      <c r="H632" s="16" t="str">
        <f aca="false">IF(OR(A632="",G632=""),"",F632*G632)</f>
        <v/>
      </c>
    </row>
    <row r="633" customFormat="false" ht="15" hidden="false" customHeight="false" outlineLevel="0" collapsed="false">
      <c r="A633" s="11"/>
      <c r="B633" s="12" t="str">
        <f aca="false">IF(A633="","",IFERROR(INDEX(Productos!$D$2:$D$1001,MATCH(A633,Productos!$A$2:$A$1001,0))&amp;" — "&amp;INDEX(Productos!$E$2:$E$1001,MATCH(A633,Productos!$A$2:$A$1001,0)),"SKU no existe en Productos"))</f>
        <v/>
      </c>
      <c r="C633" s="11"/>
      <c r="D633" s="11"/>
      <c r="E633" s="11"/>
      <c r="F633" s="12" t="str">
        <f aca="false">IF(A633="","",SUM(C633:E633))</f>
        <v/>
      </c>
      <c r="G633" s="16" t="str">
        <f aca="false">IF(A633="","",IFERROR(INDEX(Productos!$K$2:$K$1001,MATCH(A633,Productos!$A$2:$A$1001,0)),""))</f>
        <v/>
      </c>
      <c r="H633" s="16" t="str">
        <f aca="false">IF(OR(A633="",G633=""),"",F633*G633)</f>
        <v/>
      </c>
    </row>
    <row r="634" customFormat="false" ht="15" hidden="false" customHeight="false" outlineLevel="0" collapsed="false">
      <c r="A634" s="11"/>
      <c r="B634" s="12" t="str">
        <f aca="false">IF(A634="","",IFERROR(INDEX(Productos!$D$2:$D$1001,MATCH(A634,Productos!$A$2:$A$1001,0))&amp;" — "&amp;INDEX(Productos!$E$2:$E$1001,MATCH(A634,Productos!$A$2:$A$1001,0)),"SKU no existe en Productos"))</f>
        <v/>
      </c>
      <c r="C634" s="11"/>
      <c r="D634" s="11"/>
      <c r="E634" s="11"/>
      <c r="F634" s="12" t="str">
        <f aca="false">IF(A634="","",SUM(C634:E634))</f>
        <v/>
      </c>
      <c r="G634" s="16" t="str">
        <f aca="false">IF(A634="","",IFERROR(INDEX(Productos!$K$2:$K$1001,MATCH(A634,Productos!$A$2:$A$1001,0)),""))</f>
        <v/>
      </c>
      <c r="H634" s="16" t="str">
        <f aca="false">IF(OR(A634="",G634=""),"",F634*G634)</f>
        <v/>
      </c>
    </row>
    <row r="635" customFormat="false" ht="15" hidden="false" customHeight="false" outlineLevel="0" collapsed="false">
      <c r="A635" s="11"/>
      <c r="B635" s="12" t="str">
        <f aca="false">IF(A635="","",IFERROR(INDEX(Productos!$D$2:$D$1001,MATCH(A635,Productos!$A$2:$A$1001,0))&amp;" — "&amp;INDEX(Productos!$E$2:$E$1001,MATCH(A635,Productos!$A$2:$A$1001,0)),"SKU no existe en Productos"))</f>
        <v/>
      </c>
      <c r="C635" s="11"/>
      <c r="D635" s="11"/>
      <c r="E635" s="11"/>
      <c r="F635" s="12" t="str">
        <f aca="false">IF(A635="","",SUM(C635:E635))</f>
        <v/>
      </c>
      <c r="G635" s="16" t="str">
        <f aca="false">IF(A635="","",IFERROR(INDEX(Productos!$K$2:$K$1001,MATCH(A635,Productos!$A$2:$A$1001,0)),""))</f>
        <v/>
      </c>
      <c r="H635" s="16" t="str">
        <f aca="false">IF(OR(A635="",G635=""),"",F635*G635)</f>
        <v/>
      </c>
    </row>
    <row r="636" customFormat="false" ht="15" hidden="false" customHeight="false" outlineLevel="0" collapsed="false">
      <c r="A636" s="11"/>
      <c r="B636" s="12" t="str">
        <f aca="false">IF(A636="","",IFERROR(INDEX(Productos!$D$2:$D$1001,MATCH(A636,Productos!$A$2:$A$1001,0))&amp;" — "&amp;INDEX(Productos!$E$2:$E$1001,MATCH(A636,Productos!$A$2:$A$1001,0)),"SKU no existe en Productos"))</f>
        <v/>
      </c>
      <c r="C636" s="11"/>
      <c r="D636" s="11"/>
      <c r="E636" s="11"/>
      <c r="F636" s="12" t="str">
        <f aca="false">IF(A636="","",SUM(C636:E636))</f>
        <v/>
      </c>
      <c r="G636" s="16" t="str">
        <f aca="false">IF(A636="","",IFERROR(INDEX(Productos!$K$2:$K$1001,MATCH(A636,Productos!$A$2:$A$1001,0)),""))</f>
        <v/>
      </c>
      <c r="H636" s="16" t="str">
        <f aca="false">IF(OR(A636="",G636=""),"",F636*G636)</f>
        <v/>
      </c>
    </row>
    <row r="637" customFormat="false" ht="15" hidden="false" customHeight="false" outlineLevel="0" collapsed="false">
      <c r="A637" s="11"/>
      <c r="B637" s="12" t="str">
        <f aca="false">IF(A637="","",IFERROR(INDEX(Productos!$D$2:$D$1001,MATCH(A637,Productos!$A$2:$A$1001,0))&amp;" — "&amp;INDEX(Productos!$E$2:$E$1001,MATCH(A637,Productos!$A$2:$A$1001,0)),"SKU no existe en Productos"))</f>
        <v/>
      </c>
      <c r="C637" s="11"/>
      <c r="D637" s="11"/>
      <c r="E637" s="11"/>
      <c r="F637" s="12" t="str">
        <f aca="false">IF(A637="","",SUM(C637:E637))</f>
        <v/>
      </c>
      <c r="G637" s="16" t="str">
        <f aca="false">IF(A637="","",IFERROR(INDEX(Productos!$K$2:$K$1001,MATCH(A637,Productos!$A$2:$A$1001,0)),""))</f>
        <v/>
      </c>
      <c r="H637" s="16" t="str">
        <f aca="false">IF(OR(A637="",G637=""),"",F637*G637)</f>
        <v/>
      </c>
    </row>
    <row r="638" customFormat="false" ht="15" hidden="false" customHeight="false" outlineLevel="0" collapsed="false">
      <c r="A638" s="11"/>
      <c r="B638" s="12" t="str">
        <f aca="false">IF(A638="","",IFERROR(INDEX(Productos!$D$2:$D$1001,MATCH(A638,Productos!$A$2:$A$1001,0))&amp;" — "&amp;INDEX(Productos!$E$2:$E$1001,MATCH(A638,Productos!$A$2:$A$1001,0)),"SKU no existe en Productos"))</f>
        <v/>
      </c>
      <c r="C638" s="11"/>
      <c r="D638" s="11"/>
      <c r="E638" s="11"/>
      <c r="F638" s="12" t="str">
        <f aca="false">IF(A638="","",SUM(C638:E638))</f>
        <v/>
      </c>
      <c r="G638" s="16" t="str">
        <f aca="false">IF(A638="","",IFERROR(INDEX(Productos!$K$2:$K$1001,MATCH(A638,Productos!$A$2:$A$1001,0)),""))</f>
        <v/>
      </c>
      <c r="H638" s="16" t="str">
        <f aca="false">IF(OR(A638="",G638=""),"",F638*G638)</f>
        <v/>
      </c>
    </row>
    <row r="639" customFormat="false" ht="15" hidden="false" customHeight="false" outlineLevel="0" collapsed="false">
      <c r="A639" s="11"/>
      <c r="B639" s="12" t="str">
        <f aca="false">IF(A639="","",IFERROR(INDEX(Productos!$D$2:$D$1001,MATCH(A639,Productos!$A$2:$A$1001,0))&amp;" — "&amp;INDEX(Productos!$E$2:$E$1001,MATCH(A639,Productos!$A$2:$A$1001,0)),"SKU no existe en Productos"))</f>
        <v/>
      </c>
      <c r="C639" s="11"/>
      <c r="D639" s="11"/>
      <c r="E639" s="11"/>
      <c r="F639" s="12" t="str">
        <f aca="false">IF(A639="","",SUM(C639:E639))</f>
        <v/>
      </c>
      <c r="G639" s="16" t="str">
        <f aca="false">IF(A639="","",IFERROR(INDEX(Productos!$K$2:$K$1001,MATCH(A639,Productos!$A$2:$A$1001,0)),""))</f>
        <v/>
      </c>
      <c r="H639" s="16" t="str">
        <f aca="false">IF(OR(A639="",G639=""),"",F639*G639)</f>
        <v/>
      </c>
    </row>
    <row r="640" customFormat="false" ht="15" hidden="false" customHeight="false" outlineLevel="0" collapsed="false">
      <c r="A640" s="11"/>
      <c r="B640" s="12" t="str">
        <f aca="false">IF(A640="","",IFERROR(INDEX(Productos!$D$2:$D$1001,MATCH(A640,Productos!$A$2:$A$1001,0))&amp;" — "&amp;INDEX(Productos!$E$2:$E$1001,MATCH(A640,Productos!$A$2:$A$1001,0)),"SKU no existe en Productos"))</f>
        <v/>
      </c>
      <c r="C640" s="11"/>
      <c r="D640" s="11"/>
      <c r="E640" s="11"/>
      <c r="F640" s="12" t="str">
        <f aca="false">IF(A640="","",SUM(C640:E640))</f>
        <v/>
      </c>
      <c r="G640" s="16" t="str">
        <f aca="false">IF(A640="","",IFERROR(INDEX(Productos!$K$2:$K$1001,MATCH(A640,Productos!$A$2:$A$1001,0)),""))</f>
        <v/>
      </c>
      <c r="H640" s="16" t="str">
        <f aca="false">IF(OR(A640="",G640=""),"",F640*G640)</f>
        <v/>
      </c>
    </row>
    <row r="641" customFormat="false" ht="15" hidden="false" customHeight="false" outlineLevel="0" collapsed="false">
      <c r="A641" s="11"/>
      <c r="B641" s="12" t="str">
        <f aca="false">IF(A641="","",IFERROR(INDEX(Productos!$D$2:$D$1001,MATCH(A641,Productos!$A$2:$A$1001,0))&amp;" — "&amp;INDEX(Productos!$E$2:$E$1001,MATCH(A641,Productos!$A$2:$A$1001,0)),"SKU no existe en Productos"))</f>
        <v/>
      </c>
      <c r="C641" s="11"/>
      <c r="D641" s="11"/>
      <c r="E641" s="11"/>
      <c r="F641" s="12" t="str">
        <f aca="false">IF(A641="","",SUM(C641:E641))</f>
        <v/>
      </c>
      <c r="G641" s="16" t="str">
        <f aca="false">IF(A641="","",IFERROR(INDEX(Productos!$K$2:$K$1001,MATCH(A641,Productos!$A$2:$A$1001,0)),""))</f>
        <v/>
      </c>
      <c r="H641" s="16" t="str">
        <f aca="false">IF(OR(A641="",G641=""),"",F641*G641)</f>
        <v/>
      </c>
    </row>
    <row r="642" customFormat="false" ht="15" hidden="false" customHeight="false" outlineLevel="0" collapsed="false">
      <c r="A642" s="11"/>
      <c r="B642" s="12" t="str">
        <f aca="false">IF(A642="","",IFERROR(INDEX(Productos!$D$2:$D$1001,MATCH(A642,Productos!$A$2:$A$1001,0))&amp;" — "&amp;INDEX(Productos!$E$2:$E$1001,MATCH(A642,Productos!$A$2:$A$1001,0)),"SKU no existe en Productos"))</f>
        <v/>
      </c>
      <c r="C642" s="11"/>
      <c r="D642" s="11"/>
      <c r="E642" s="11"/>
      <c r="F642" s="12" t="str">
        <f aca="false">IF(A642="","",SUM(C642:E642))</f>
        <v/>
      </c>
      <c r="G642" s="16" t="str">
        <f aca="false">IF(A642="","",IFERROR(INDEX(Productos!$K$2:$K$1001,MATCH(A642,Productos!$A$2:$A$1001,0)),""))</f>
        <v/>
      </c>
      <c r="H642" s="16" t="str">
        <f aca="false">IF(OR(A642="",G642=""),"",F642*G642)</f>
        <v/>
      </c>
    </row>
    <row r="643" customFormat="false" ht="15" hidden="false" customHeight="false" outlineLevel="0" collapsed="false">
      <c r="A643" s="11"/>
      <c r="B643" s="12" t="str">
        <f aca="false">IF(A643="","",IFERROR(INDEX(Productos!$D$2:$D$1001,MATCH(A643,Productos!$A$2:$A$1001,0))&amp;" — "&amp;INDEX(Productos!$E$2:$E$1001,MATCH(A643,Productos!$A$2:$A$1001,0)),"SKU no existe en Productos"))</f>
        <v/>
      </c>
      <c r="C643" s="11"/>
      <c r="D643" s="11"/>
      <c r="E643" s="11"/>
      <c r="F643" s="12" t="str">
        <f aca="false">IF(A643="","",SUM(C643:E643))</f>
        <v/>
      </c>
      <c r="G643" s="16" t="str">
        <f aca="false">IF(A643="","",IFERROR(INDEX(Productos!$K$2:$K$1001,MATCH(A643,Productos!$A$2:$A$1001,0)),""))</f>
        <v/>
      </c>
      <c r="H643" s="16" t="str">
        <f aca="false">IF(OR(A643="",G643=""),"",F643*G643)</f>
        <v/>
      </c>
    </row>
    <row r="644" customFormat="false" ht="15" hidden="false" customHeight="false" outlineLevel="0" collapsed="false">
      <c r="A644" s="11"/>
      <c r="B644" s="12" t="str">
        <f aca="false">IF(A644="","",IFERROR(INDEX(Productos!$D$2:$D$1001,MATCH(A644,Productos!$A$2:$A$1001,0))&amp;" — "&amp;INDEX(Productos!$E$2:$E$1001,MATCH(A644,Productos!$A$2:$A$1001,0)),"SKU no existe en Productos"))</f>
        <v/>
      </c>
      <c r="C644" s="11"/>
      <c r="D644" s="11"/>
      <c r="E644" s="11"/>
      <c r="F644" s="12" t="str">
        <f aca="false">IF(A644="","",SUM(C644:E644))</f>
        <v/>
      </c>
      <c r="G644" s="16" t="str">
        <f aca="false">IF(A644="","",IFERROR(INDEX(Productos!$K$2:$K$1001,MATCH(A644,Productos!$A$2:$A$1001,0)),""))</f>
        <v/>
      </c>
      <c r="H644" s="16" t="str">
        <f aca="false">IF(OR(A644="",G644=""),"",F644*G644)</f>
        <v/>
      </c>
    </row>
    <row r="645" customFormat="false" ht="15" hidden="false" customHeight="false" outlineLevel="0" collapsed="false">
      <c r="A645" s="11"/>
      <c r="B645" s="12" t="str">
        <f aca="false">IF(A645="","",IFERROR(INDEX(Productos!$D$2:$D$1001,MATCH(A645,Productos!$A$2:$A$1001,0))&amp;" — "&amp;INDEX(Productos!$E$2:$E$1001,MATCH(A645,Productos!$A$2:$A$1001,0)),"SKU no existe en Productos"))</f>
        <v/>
      </c>
      <c r="C645" s="11"/>
      <c r="D645" s="11"/>
      <c r="E645" s="11"/>
      <c r="F645" s="12" t="str">
        <f aca="false">IF(A645="","",SUM(C645:E645))</f>
        <v/>
      </c>
      <c r="G645" s="16" t="str">
        <f aca="false">IF(A645="","",IFERROR(INDEX(Productos!$K$2:$K$1001,MATCH(A645,Productos!$A$2:$A$1001,0)),""))</f>
        <v/>
      </c>
      <c r="H645" s="16" t="str">
        <f aca="false">IF(OR(A645="",G645=""),"",F645*G645)</f>
        <v/>
      </c>
    </row>
    <row r="646" customFormat="false" ht="15" hidden="false" customHeight="false" outlineLevel="0" collapsed="false">
      <c r="A646" s="11"/>
      <c r="B646" s="12" t="str">
        <f aca="false">IF(A646="","",IFERROR(INDEX(Productos!$D$2:$D$1001,MATCH(A646,Productos!$A$2:$A$1001,0))&amp;" — "&amp;INDEX(Productos!$E$2:$E$1001,MATCH(A646,Productos!$A$2:$A$1001,0)),"SKU no existe en Productos"))</f>
        <v/>
      </c>
      <c r="C646" s="11"/>
      <c r="D646" s="11"/>
      <c r="E646" s="11"/>
      <c r="F646" s="12" t="str">
        <f aca="false">IF(A646="","",SUM(C646:E646))</f>
        <v/>
      </c>
      <c r="G646" s="16" t="str">
        <f aca="false">IF(A646="","",IFERROR(INDEX(Productos!$K$2:$K$1001,MATCH(A646,Productos!$A$2:$A$1001,0)),""))</f>
        <v/>
      </c>
      <c r="H646" s="16" t="str">
        <f aca="false">IF(OR(A646="",G646=""),"",F646*G646)</f>
        <v/>
      </c>
    </row>
    <row r="647" customFormat="false" ht="15" hidden="false" customHeight="false" outlineLevel="0" collapsed="false">
      <c r="A647" s="11"/>
      <c r="B647" s="12" t="str">
        <f aca="false">IF(A647="","",IFERROR(INDEX(Productos!$D$2:$D$1001,MATCH(A647,Productos!$A$2:$A$1001,0))&amp;" — "&amp;INDEX(Productos!$E$2:$E$1001,MATCH(A647,Productos!$A$2:$A$1001,0)),"SKU no existe en Productos"))</f>
        <v/>
      </c>
      <c r="C647" s="11"/>
      <c r="D647" s="11"/>
      <c r="E647" s="11"/>
      <c r="F647" s="12" t="str">
        <f aca="false">IF(A647="","",SUM(C647:E647))</f>
        <v/>
      </c>
      <c r="G647" s="16" t="str">
        <f aca="false">IF(A647="","",IFERROR(INDEX(Productos!$K$2:$K$1001,MATCH(A647,Productos!$A$2:$A$1001,0)),""))</f>
        <v/>
      </c>
      <c r="H647" s="16" t="str">
        <f aca="false">IF(OR(A647="",G647=""),"",F647*G647)</f>
        <v/>
      </c>
    </row>
    <row r="648" customFormat="false" ht="15" hidden="false" customHeight="false" outlineLevel="0" collapsed="false">
      <c r="A648" s="11"/>
      <c r="B648" s="12" t="str">
        <f aca="false">IF(A648="","",IFERROR(INDEX(Productos!$D$2:$D$1001,MATCH(A648,Productos!$A$2:$A$1001,0))&amp;" — "&amp;INDEX(Productos!$E$2:$E$1001,MATCH(A648,Productos!$A$2:$A$1001,0)),"SKU no existe en Productos"))</f>
        <v/>
      </c>
      <c r="C648" s="11"/>
      <c r="D648" s="11"/>
      <c r="E648" s="11"/>
      <c r="F648" s="12" t="str">
        <f aca="false">IF(A648="","",SUM(C648:E648))</f>
        <v/>
      </c>
      <c r="G648" s="16" t="str">
        <f aca="false">IF(A648="","",IFERROR(INDEX(Productos!$K$2:$K$1001,MATCH(A648,Productos!$A$2:$A$1001,0)),""))</f>
        <v/>
      </c>
      <c r="H648" s="16" t="str">
        <f aca="false">IF(OR(A648="",G648=""),"",F648*G648)</f>
        <v/>
      </c>
    </row>
    <row r="649" customFormat="false" ht="15" hidden="false" customHeight="false" outlineLevel="0" collapsed="false">
      <c r="A649" s="11"/>
      <c r="B649" s="12" t="str">
        <f aca="false">IF(A649="","",IFERROR(INDEX(Productos!$D$2:$D$1001,MATCH(A649,Productos!$A$2:$A$1001,0))&amp;" — "&amp;INDEX(Productos!$E$2:$E$1001,MATCH(A649,Productos!$A$2:$A$1001,0)),"SKU no existe en Productos"))</f>
        <v/>
      </c>
      <c r="C649" s="11"/>
      <c r="D649" s="11"/>
      <c r="E649" s="11"/>
      <c r="F649" s="12" t="str">
        <f aca="false">IF(A649="","",SUM(C649:E649))</f>
        <v/>
      </c>
      <c r="G649" s="16" t="str">
        <f aca="false">IF(A649="","",IFERROR(INDEX(Productos!$K$2:$K$1001,MATCH(A649,Productos!$A$2:$A$1001,0)),""))</f>
        <v/>
      </c>
      <c r="H649" s="16" t="str">
        <f aca="false">IF(OR(A649="",G649=""),"",F649*G649)</f>
        <v/>
      </c>
    </row>
    <row r="650" customFormat="false" ht="15" hidden="false" customHeight="false" outlineLevel="0" collapsed="false">
      <c r="A650" s="11"/>
      <c r="B650" s="12" t="str">
        <f aca="false">IF(A650="","",IFERROR(INDEX(Productos!$D$2:$D$1001,MATCH(A650,Productos!$A$2:$A$1001,0))&amp;" — "&amp;INDEX(Productos!$E$2:$E$1001,MATCH(A650,Productos!$A$2:$A$1001,0)),"SKU no existe en Productos"))</f>
        <v/>
      </c>
      <c r="C650" s="11"/>
      <c r="D650" s="11"/>
      <c r="E650" s="11"/>
      <c r="F650" s="12" t="str">
        <f aca="false">IF(A650="","",SUM(C650:E650))</f>
        <v/>
      </c>
      <c r="G650" s="16" t="str">
        <f aca="false">IF(A650="","",IFERROR(INDEX(Productos!$K$2:$K$1001,MATCH(A650,Productos!$A$2:$A$1001,0)),""))</f>
        <v/>
      </c>
      <c r="H650" s="16" t="str">
        <f aca="false">IF(OR(A650="",G650=""),"",F650*G650)</f>
        <v/>
      </c>
    </row>
    <row r="651" customFormat="false" ht="15" hidden="false" customHeight="false" outlineLevel="0" collapsed="false">
      <c r="A651" s="11"/>
      <c r="B651" s="12" t="str">
        <f aca="false">IF(A651="","",IFERROR(INDEX(Productos!$D$2:$D$1001,MATCH(A651,Productos!$A$2:$A$1001,0))&amp;" — "&amp;INDEX(Productos!$E$2:$E$1001,MATCH(A651,Productos!$A$2:$A$1001,0)),"SKU no existe en Productos"))</f>
        <v/>
      </c>
      <c r="C651" s="11"/>
      <c r="D651" s="11"/>
      <c r="E651" s="11"/>
      <c r="F651" s="12" t="str">
        <f aca="false">IF(A651="","",SUM(C651:E651))</f>
        <v/>
      </c>
      <c r="G651" s="16" t="str">
        <f aca="false">IF(A651="","",IFERROR(INDEX(Productos!$K$2:$K$1001,MATCH(A651,Productos!$A$2:$A$1001,0)),""))</f>
        <v/>
      </c>
      <c r="H651" s="16" t="str">
        <f aca="false">IF(OR(A651="",G651=""),"",F651*G651)</f>
        <v/>
      </c>
    </row>
    <row r="652" customFormat="false" ht="15" hidden="false" customHeight="false" outlineLevel="0" collapsed="false">
      <c r="A652" s="11"/>
      <c r="B652" s="12" t="str">
        <f aca="false">IF(A652="","",IFERROR(INDEX(Productos!$D$2:$D$1001,MATCH(A652,Productos!$A$2:$A$1001,0))&amp;" — "&amp;INDEX(Productos!$E$2:$E$1001,MATCH(A652,Productos!$A$2:$A$1001,0)),"SKU no existe en Productos"))</f>
        <v/>
      </c>
      <c r="C652" s="11"/>
      <c r="D652" s="11"/>
      <c r="E652" s="11"/>
      <c r="F652" s="12" t="str">
        <f aca="false">IF(A652="","",SUM(C652:E652))</f>
        <v/>
      </c>
      <c r="G652" s="16" t="str">
        <f aca="false">IF(A652="","",IFERROR(INDEX(Productos!$K$2:$K$1001,MATCH(A652,Productos!$A$2:$A$1001,0)),""))</f>
        <v/>
      </c>
      <c r="H652" s="16" t="str">
        <f aca="false">IF(OR(A652="",G652=""),"",F652*G652)</f>
        <v/>
      </c>
    </row>
    <row r="653" customFormat="false" ht="15" hidden="false" customHeight="false" outlineLevel="0" collapsed="false">
      <c r="A653" s="11"/>
      <c r="B653" s="12" t="str">
        <f aca="false">IF(A653="","",IFERROR(INDEX(Productos!$D$2:$D$1001,MATCH(A653,Productos!$A$2:$A$1001,0))&amp;" — "&amp;INDEX(Productos!$E$2:$E$1001,MATCH(A653,Productos!$A$2:$A$1001,0)),"SKU no existe en Productos"))</f>
        <v/>
      </c>
      <c r="C653" s="11"/>
      <c r="D653" s="11"/>
      <c r="E653" s="11"/>
      <c r="F653" s="12" t="str">
        <f aca="false">IF(A653="","",SUM(C653:E653))</f>
        <v/>
      </c>
      <c r="G653" s="16" t="str">
        <f aca="false">IF(A653="","",IFERROR(INDEX(Productos!$K$2:$K$1001,MATCH(A653,Productos!$A$2:$A$1001,0)),""))</f>
        <v/>
      </c>
      <c r="H653" s="16" t="str">
        <f aca="false">IF(OR(A653="",G653=""),"",F653*G653)</f>
        <v/>
      </c>
    </row>
    <row r="654" customFormat="false" ht="15" hidden="false" customHeight="false" outlineLevel="0" collapsed="false">
      <c r="A654" s="11"/>
      <c r="B654" s="12" t="str">
        <f aca="false">IF(A654="","",IFERROR(INDEX(Productos!$D$2:$D$1001,MATCH(A654,Productos!$A$2:$A$1001,0))&amp;" — "&amp;INDEX(Productos!$E$2:$E$1001,MATCH(A654,Productos!$A$2:$A$1001,0)),"SKU no existe en Productos"))</f>
        <v/>
      </c>
      <c r="C654" s="11"/>
      <c r="D654" s="11"/>
      <c r="E654" s="11"/>
      <c r="F654" s="12" t="str">
        <f aca="false">IF(A654="","",SUM(C654:E654))</f>
        <v/>
      </c>
      <c r="G654" s="16" t="str">
        <f aca="false">IF(A654="","",IFERROR(INDEX(Productos!$K$2:$K$1001,MATCH(A654,Productos!$A$2:$A$1001,0)),""))</f>
        <v/>
      </c>
      <c r="H654" s="16" t="str">
        <f aca="false">IF(OR(A654="",G654=""),"",F654*G654)</f>
        <v/>
      </c>
    </row>
    <row r="655" customFormat="false" ht="15" hidden="false" customHeight="false" outlineLevel="0" collapsed="false">
      <c r="A655" s="11"/>
      <c r="B655" s="12" t="str">
        <f aca="false">IF(A655="","",IFERROR(INDEX(Productos!$D$2:$D$1001,MATCH(A655,Productos!$A$2:$A$1001,0))&amp;" — "&amp;INDEX(Productos!$E$2:$E$1001,MATCH(A655,Productos!$A$2:$A$1001,0)),"SKU no existe en Productos"))</f>
        <v/>
      </c>
      <c r="C655" s="11"/>
      <c r="D655" s="11"/>
      <c r="E655" s="11"/>
      <c r="F655" s="12" t="str">
        <f aca="false">IF(A655="","",SUM(C655:E655))</f>
        <v/>
      </c>
      <c r="G655" s="16" t="str">
        <f aca="false">IF(A655="","",IFERROR(INDEX(Productos!$K$2:$K$1001,MATCH(A655,Productos!$A$2:$A$1001,0)),""))</f>
        <v/>
      </c>
      <c r="H655" s="16" t="str">
        <f aca="false">IF(OR(A655="",G655=""),"",F655*G655)</f>
        <v/>
      </c>
    </row>
    <row r="656" customFormat="false" ht="15" hidden="false" customHeight="false" outlineLevel="0" collapsed="false">
      <c r="A656" s="11"/>
      <c r="B656" s="12" t="str">
        <f aca="false">IF(A656="","",IFERROR(INDEX(Productos!$D$2:$D$1001,MATCH(A656,Productos!$A$2:$A$1001,0))&amp;" — "&amp;INDEX(Productos!$E$2:$E$1001,MATCH(A656,Productos!$A$2:$A$1001,0)),"SKU no existe en Productos"))</f>
        <v/>
      </c>
      <c r="C656" s="11"/>
      <c r="D656" s="11"/>
      <c r="E656" s="11"/>
      <c r="F656" s="12" t="str">
        <f aca="false">IF(A656="","",SUM(C656:E656))</f>
        <v/>
      </c>
      <c r="G656" s="16" t="str">
        <f aca="false">IF(A656="","",IFERROR(INDEX(Productos!$K$2:$K$1001,MATCH(A656,Productos!$A$2:$A$1001,0)),""))</f>
        <v/>
      </c>
      <c r="H656" s="16" t="str">
        <f aca="false">IF(OR(A656="",G656=""),"",F656*G656)</f>
        <v/>
      </c>
    </row>
    <row r="657" customFormat="false" ht="15" hidden="false" customHeight="false" outlineLevel="0" collapsed="false">
      <c r="A657" s="11"/>
      <c r="B657" s="12" t="str">
        <f aca="false">IF(A657="","",IFERROR(INDEX(Productos!$D$2:$D$1001,MATCH(A657,Productos!$A$2:$A$1001,0))&amp;" — "&amp;INDEX(Productos!$E$2:$E$1001,MATCH(A657,Productos!$A$2:$A$1001,0)),"SKU no existe en Productos"))</f>
        <v/>
      </c>
      <c r="C657" s="11"/>
      <c r="D657" s="11"/>
      <c r="E657" s="11"/>
      <c r="F657" s="12" t="str">
        <f aca="false">IF(A657="","",SUM(C657:E657))</f>
        <v/>
      </c>
      <c r="G657" s="16" t="str">
        <f aca="false">IF(A657="","",IFERROR(INDEX(Productos!$K$2:$K$1001,MATCH(A657,Productos!$A$2:$A$1001,0)),""))</f>
        <v/>
      </c>
      <c r="H657" s="16" t="str">
        <f aca="false">IF(OR(A657="",G657=""),"",F657*G657)</f>
        <v/>
      </c>
    </row>
    <row r="658" customFormat="false" ht="15" hidden="false" customHeight="false" outlineLevel="0" collapsed="false">
      <c r="A658" s="11"/>
      <c r="B658" s="12" t="str">
        <f aca="false">IF(A658="","",IFERROR(INDEX(Productos!$D$2:$D$1001,MATCH(A658,Productos!$A$2:$A$1001,0))&amp;" — "&amp;INDEX(Productos!$E$2:$E$1001,MATCH(A658,Productos!$A$2:$A$1001,0)),"SKU no existe en Productos"))</f>
        <v/>
      </c>
      <c r="C658" s="11"/>
      <c r="D658" s="11"/>
      <c r="E658" s="11"/>
      <c r="F658" s="12" t="str">
        <f aca="false">IF(A658="","",SUM(C658:E658))</f>
        <v/>
      </c>
      <c r="G658" s="16" t="str">
        <f aca="false">IF(A658="","",IFERROR(INDEX(Productos!$K$2:$K$1001,MATCH(A658,Productos!$A$2:$A$1001,0)),""))</f>
        <v/>
      </c>
      <c r="H658" s="16" t="str">
        <f aca="false">IF(OR(A658="",G658=""),"",F658*G658)</f>
        <v/>
      </c>
    </row>
    <row r="659" customFormat="false" ht="15" hidden="false" customHeight="false" outlineLevel="0" collapsed="false">
      <c r="A659" s="11"/>
      <c r="B659" s="12" t="str">
        <f aca="false">IF(A659="","",IFERROR(INDEX(Productos!$D$2:$D$1001,MATCH(A659,Productos!$A$2:$A$1001,0))&amp;" — "&amp;INDEX(Productos!$E$2:$E$1001,MATCH(A659,Productos!$A$2:$A$1001,0)),"SKU no existe en Productos"))</f>
        <v/>
      </c>
      <c r="C659" s="11"/>
      <c r="D659" s="11"/>
      <c r="E659" s="11"/>
      <c r="F659" s="12" t="str">
        <f aca="false">IF(A659="","",SUM(C659:E659))</f>
        <v/>
      </c>
      <c r="G659" s="16" t="str">
        <f aca="false">IF(A659="","",IFERROR(INDEX(Productos!$K$2:$K$1001,MATCH(A659,Productos!$A$2:$A$1001,0)),""))</f>
        <v/>
      </c>
      <c r="H659" s="16" t="str">
        <f aca="false">IF(OR(A659="",G659=""),"",F659*G659)</f>
        <v/>
      </c>
    </row>
    <row r="660" customFormat="false" ht="15" hidden="false" customHeight="false" outlineLevel="0" collapsed="false">
      <c r="A660" s="11"/>
      <c r="B660" s="12" t="str">
        <f aca="false">IF(A660="","",IFERROR(INDEX(Productos!$D$2:$D$1001,MATCH(A660,Productos!$A$2:$A$1001,0))&amp;" — "&amp;INDEX(Productos!$E$2:$E$1001,MATCH(A660,Productos!$A$2:$A$1001,0)),"SKU no existe en Productos"))</f>
        <v/>
      </c>
      <c r="C660" s="11"/>
      <c r="D660" s="11"/>
      <c r="E660" s="11"/>
      <c r="F660" s="12" t="str">
        <f aca="false">IF(A660="","",SUM(C660:E660))</f>
        <v/>
      </c>
      <c r="G660" s="16" t="str">
        <f aca="false">IF(A660="","",IFERROR(INDEX(Productos!$K$2:$K$1001,MATCH(A660,Productos!$A$2:$A$1001,0)),""))</f>
        <v/>
      </c>
      <c r="H660" s="16" t="str">
        <f aca="false">IF(OR(A660="",G660=""),"",F660*G660)</f>
        <v/>
      </c>
    </row>
    <row r="661" customFormat="false" ht="15" hidden="false" customHeight="false" outlineLevel="0" collapsed="false">
      <c r="A661" s="11"/>
      <c r="B661" s="12" t="str">
        <f aca="false">IF(A661="","",IFERROR(INDEX(Productos!$D$2:$D$1001,MATCH(A661,Productos!$A$2:$A$1001,0))&amp;" — "&amp;INDEX(Productos!$E$2:$E$1001,MATCH(A661,Productos!$A$2:$A$1001,0)),"SKU no existe en Productos"))</f>
        <v/>
      </c>
      <c r="C661" s="11"/>
      <c r="D661" s="11"/>
      <c r="E661" s="11"/>
      <c r="F661" s="12" t="str">
        <f aca="false">IF(A661="","",SUM(C661:E661))</f>
        <v/>
      </c>
      <c r="G661" s="16" t="str">
        <f aca="false">IF(A661="","",IFERROR(INDEX(Productos!$K$2:$K$1001,MATCH(A661,Productos!$A$2:$A$1001,0)),""))</f>
        <v/>
      </c>
      <c r="H661" s="16" t="str">
        <f aca="false">IF(OR(A661="",G661=""),"",F661*G661)</f>
        <v/>
      </c>
    </row>
    <row r="662" customFormat="false" ht="15" hidden="false" customHeight="false" outlineLevel="0" collapsed="false">
      <c r="A662" s="11"/>
      <c r="B662" s="12" t="str">
        <f aca="false">IF(A662="","",IFERROR(INDEX(Productos!$D$2:$D$1001,MATCH(A662,Productos!$A$2:$A$1001,0))&amp;" — "&amp;INDEX(Productos!$E$2:$E$1001,MATCH(A662,Productos!$A$2:$A$1001,0)),"SKU no existe en Productos"))</f>
        <v/>
      </c>
      <c r="C662" s="11"/>
      <c r="D662" s="11"/>
      <c r="E662" s="11"/>
      <c r="F662" s="12" t="str">
        <f aca="false">IF(A662="","",SUM(C662:E662))</f>
        <v/>
      </c>
      <c r="G662" s="16" t="str">
        <f aca="false">IF(A662="","",IFERROR(INDEX(Productos!$K$2:$K$1001,MATCH(A662,Productos!$A$2:$A$1001,0)),""))</f>
        <v/>
      </c>
      <c r="H662" s="16" t="str">
        <f aca="false">IF(OR(A662="",G662=""),"",F662*G662)</f>
        <v/>
      </c>
    </row>
    <row r="663" customFormat="false" ht="15" hidden="false" customHeight="false" outlineLevel="0" collapsed="false">
      <c r="A663" s="11"/>
      <c r="B663" s="12" t="str">
        <f aca="false">IF(A663="","",IFERROR(INDEX(Productos!$D$2:$D$1001,MATCH(A663,Productos!$A$2:$A$1001,0))&amp;" — "&amp;INDEX(Productos!$E$2:$E$1001,MATCH(A663,Productos!$A$2:$A$1001,0)),"SKU no existe en Productos"))</f>
        <v/>
      </c>
      <c r="C663" s="11"/>
      <c r="D663" s="11"/>
      <c r="E663" s="11"/>
      <c r="F663" s="12" t="str">
        <f aca="false">IF(A663="","",SUM(C663:E663))</f>
        <v/>
      </c>
      <c r="G663" s="16" t="str">
        <f aca="false">IF(A663="","",IFERROR(INDEX(Productos!$K$2:$K$1001,MATCH(A663,Productos!$A$2:$A$1001,0)),""))</f>
        <v/>
      </c>
      <c r="H663" s="16" t="str">
        <f aca="false">IF(OR(A663="",G663=""),"",F663*G663)</f>
        <v/>
      </c>
    </row>
    <row r="664" customFormat="false" ht="15" hidden="false" customHeight="false" outlineLevel="0" collapsed="false">
      <c r="A664" s="11"/>
      <c r="B664" s="12" t="str">
        <f aca="false">IF(A664="","",IFERROR(INDEX(Productos!$D$2:$D$1001,MATCH(A664,Productos!$A$2:$A$1001,0))&amp;" — "&amp;INDEX(Productos!$E$2:$E$1001,MATCH(A664,Productos!$A$2:$A$1001,0)),"SKU no existe en Productos"))</f>
        <v/>
      </c>
      <c r="C664" s="11"/>
      <c r="D664" s="11"/>
      <c r="E664" s="11"/>
      <c r="F664" s="12" t="str">
        <f aca="false">IF(A664="","",SUM(C664:E664))</f>
        <v/>
      </c>
      <c r="G664" s="16" t="str">
        <f aca="false">IF(A664="","",IFERROR(INDEX(Productos!$K$2:$K$1001,MATCH(A664,Productos!$A$2:$A$1001,0)),""))</f>
        <v/>
      </c>
      <c r="H664" s="16" t="str">
        <f aca="false">IF(OR(A664="",G664=""),"",F664*G664)</f>
        <v/>
      </c>
    </row>
    <row r="665" customFormat="false" ht="15" hidden="false" customHeight="false" outlineLevel="0" collapsed="false">
      <c r="A665" s="11"/>
      <c r="B665" s="12" t="str">
        <f aca="false">IF(A665="","",IFERROR(INDEX(Productos!$D$2:$D$1001,MATCH(A665,Productos!$A$2:$A$1001,0))&amp;" — "&amp;INDEX(Productos!$E$2:$E$1001,MATCH(A665,Productos!$A$2:$A$1001,0)),"SKU no existe en Productos"))</f>
        <v/>
      </c>
      <c r="C665" s="11"/>
      <c r="D665" s="11"/>
      <c r="E665" s="11"/>
      <c r="F665" s="12" t="str">
        <f aca="false">IF(A665="","",SUM(C665:E665))</f>
        <v/>
      </c>
      <c r="G665" s="16" t="str">
        <f aca="false">IF(A665="","",IFERROR(INDEX(Productos!$K$2:$K$1001,MATCH(A665,Productos!$A$2:$A$1001,0)),""))</f>
        <v/>
      </c>
      <c r="H665" s="16" t="str">
        <f aca="false">IF(OR(A665="",G665=""),"",F665*G665)</f>
        <v/>
      </c>
    </row>
    <row r="666" customFormat="false" ht="15" hidden="false" customHeight="false" outlineLevel="0" collapsed="false">
      <c r="A666" s="11"/>
      <c r="B666" s="12" t="str">
        <f aca="false">IF(A666="","",IFERROR(INDEX(Productos!$D$2:$D$1001,MATCH(A666,Productos!$A$2:$A$1001,0))&amp;" — "&amp;INDEX(Productos!$E$2:$E$1001,MATCH(A666,Productos!$A$2:$A$1001,0)),"SKU no existe en Productos"))</f>
        <v/>
      </c>
      <c r="C666" s="11"/>
      <c r="D666" s="11"/>
      <c r="E666" s="11"/>
      <c r="F666" s="12" t="str">
        <f aca="false">IF(A666="","",SUM(C666:E666))</f>
        <v/>
      </c>
      <c r="G666" s="16" t="str">
        <f aca="false">IF(A666="","",IFERROR(INDEX(Productos!$K$2:$K$1001,MATCH(A666,Productos!$A$2:$A$1001,0)),""))</f>
        <v/>
      </c>
      <c r="H666" s="16" t="str">
        <f aca="false">IF(OR(A666="",G666=""),"",F666*G666)</f>
        <v/>
      </c>
    </row>
    <row r="667" customFormat="false" ht="15" hidden="false" customHeight="false" outlineLevel="0" collapsed="false">
      <c r="A667" s="11"/>
      <c r="B667" s="12" t="str">
        <f aca="false">IF(A667="","",IFERROR(INDEX(Productos!$D$2:$D$1001,MATCH(A667,Productos!$A$2:$A$1001,0))&amp;" — "&amp;INDEX(Productos!$E$2:$E$1001,MATCH(A667,Productos!$A$2:$A$1001,0)),"SKU no existe en Productos"))</f>
        <v/>
      </c>
      <c r="C667" s="11"/>
      <c r="D667" s="11"/>
      <c r="E667" s="11"/>
      <c r="F667" s="12" t="str">
        <f aca="false">IF(A667="","",SUM(C667:E667))</f>
        <v/>
      </c>
      <c r="G667" s="16" t="str">
        <f aca="false">IF(A667="","",IFERROR(INDEX(Productos!$K$2:$K$1001,MATCH(A667,Productos!$A$2:$A$1001,0)),""))</f>
        <v/>
      </c>
      <c r="H667" s="16" t="str">
        <f aca="false">IF(OR(A667="",G667=""),"",F667*G667)</f>
        <v/>
      </c>
    </row>
    <row r="668" customFormat="false" ht="15" hidden="false" customHeight="false" outlineLevel="0" collapsed="false">
      <c r="A668" s="11"/>
      <c r="B668" s="12" t="str">
        <f aca="false">IF(A668="","",IFERROR(INDEX(Productos!$D$2:$D$1001,MATCH(A668,Productos!$A$2:$A$1001,0))&amp;" — "&amp;INDEX(Productos!$E$2:$E$1001,MATCH(A668,Productos!$A$2:$A$1001,0)),"SKU no existe en Productos"))</f>
        <v/>
      </c>
      <c r="C668" s="11"/>
      <c r="D668" s="11"/>
      <c r="E668" s="11"/>
      <c r="F668" s="12" t="str">
        <f aca="false">IF(A668="","",SUM(C668:E668))</f>
        <v/>
      </c>
      <c r="G668" s="16" t="str">
        <f aca="false">IF(A668="","",IFERROR(INDEX(Productos!$K$2:$K$1001,MATCH(A668,Productos!$A$2:$A$1001,0)),""))</f>
        <v/>
      </c>
      <c r="H668" s="16" t="str">
        <f aca="false">IF(OR(A668="",G668=""),"",F668*G668)</f>
        <v/>
      </c>
    </row>
    <row r="669" customFormat="false" ht="15" hidden="false" customHeight="false" outlineLevel="0" collapsed="false">
      <c r="A669" s="11"/>
      <c r="B669" s="12" t="str">
        <f aca="false">IF(A669="","",IFERROR(INDEX(Productos!$D$2:$D$1001,MATCH(A669,Productos!$A$2:$A$1001,0))&amp;" — "&amp;INDEX(Productos!$E$2:$E$1001,MATCH(A669,Productos!$A$2:$A$1001,0)),"SKU no existe en Productos"))</f>
        <v/>
      </c>
      <c r="C669" s="11"/>
      <c r="D669" s="11"/>
      <c r="E669" s="11"/>
      <c r="F669" s="12" t="str">
        <f aca="false">IF(A669="","",SUM(C669:E669))</f>
        <v/>
      </c>
      <c r="G669" s="16" t="str">
        <f aca="false">IF(A669="","",IFERROR(INDEX(Productos!$K$2:$K$1001,MATCH(A669,Productos!$A$2:$A$1001,0)),""))</f>
        <v/>
      </c>
      <c r="H669" s="16" t="str">
        <f aca="false">IF(OR(A669="",G669=""),"",F669*G669)</f>
        <v/>
      </c>
    </row>
    <row r="670" customFormat="false" ht="15" hidden="false" customHeight="false" outlineLevel="0" collapsed="false">
      <c r="A670" s="11"/>
      <c r="B670" s="12" t="str">
        <f aca="false">IF(A670="","",IFERROR(INDEX(Productos!$D$2:$D$1001,MATCH(A670,Productos!$A$2:$A$1001,0))&amp;" — "&amp;INDEX(Productos!$E$2:$E$1001,MATCH(A670,Productos!$A$2:$A$1001,0)),"SKU no existe en Productos"))</f>
        <v/>
      </c>
      <c r="C670" s="11"/>
      <c r="D670" s="11"/>
      <c r="E670" s="11"/>
      <c r="F670" s="12" t="str">
        <f aca="false">IF(A670="","",SUM(C670:E670))</f>
        <v/>
      </c>
      <c r="G670" s="16" t="str">
        <f aca="false">IF(A670="","",IFERROR(INDEX(Productos!$K$2:$K$1001,MATCH(A670,Productos!$A$2:$A$1001,0)),""))</f>
        <v/>
      </c>
      <c r="H670" s="16" t="str">
        <f aca="false">IF(OR(A670="",G670=""),"",F670*G670)</f>
        <v/>
      </c>
    </row>
    <row r="671" customFormat="false" ht="15" hidden="false" customHeight="false" outlineLevel="0" collapsed="false">
      <c r="A671" s="11"/>
      <c r="B671" s="12" t="str">
        <f aca="false">IF(A671="","",IFERROR(INDEX(Productos!$D$2:$D$1001,MATCH(A671,Productos!$A$2:$A$1001,0))&amp;" — "&amp;INDEX(Productos!$E$2:$E$1001,MATCH(A671,Productos!$A$2:$A$1001,0)),"SKU no existe en Productos"))</f>
        <v/>
      </c>
      <c r="C671" s="11"/>
      <c r="D671" s="11"/>
      <c r="E671" s="11"/>
      <c r="F671" s="12" t="str">
        <f aca="false">IF(A671="","",SUM(C671:E671))</f>
        <v/>
      </c>
      <c r="G671" s="16" t="str">
        <f aca="false">IF(A671="","",IFERROR(INDEX(Productos!$K$2:$K$1001,MATCH(A671,Productos!$A$2:$A$1001,0)),""))</f>
        <v/>
      </c>
      <c r="H671" s="16" t="str">
        <f aca="false">IF(OR(A671="",G671=""),"",F671*G671)</f>
        <v/>
      </c>
    </row>
    <row r="672" customFormat="false" ht="15" hidden="false" customHeight="false" outlineLevel="0" collapsed="false">
      <c r="A672" s="11"/>
      <c r="B672" s="12" t="str">
        <f aca="false">IF(A672="","",IFERROR(INDEX(Productos!$D$2:$D$1001,MATCH(A672,Productos!$A$2:$A$1001,0))&amp;" — "&amp;INDEX(Productos!$E$2:$E$1001,MATCH(A672,Productos!$A$2:$A$1001,0)),"SKU no existe en Productos"))</f>
        <v/>
      </c>
      <c r="C672" s="11"/>
      <c r="D672" s="11"/>
      <c r="E672" s="11"/>
      <c r="F672" s="12" t="str">
        <f aca="false">IF(A672="","",SUM(C672:E672))</f>
        <v/>
      </c>
      <c r="G672" s="16" t="str">
        <f aca="false">IF(A672="","",IFERROR(INDEX(Productos!$K$2:$K$1001,MATCH(A672,Productos!$A$2:$A$1001,0)),""))</f>
        <v/>
      </c>
      <c r="H672" s="16" t="str">
        <f aca="false">IF(OR(A672="",G672=""),"",F672*G672)</f>
        <v/>
      </c>
    </row>
    <row r="673" customFormat="false" ht="15" hidden="false" customHeight="false" outlineLevel="0" collapsed="false">
      <c r="A673" s="11"/>
      <c r="B673" s="12" t="str">
        <f aca="false">IF(A673="","",IFERROR(INDEX(Productos!$D$2:$D$1001,MATCH(A673,Productos!$A$2:$A$1001,0))&amp;" — "&amp;INDEX(Productos!$E$2:$E$1001,MATCH(A673,Productos!$A$2:$A$1001,0)),"SKU no existe en Productos"))</f>
        <v/>
      </c>
      <c r="C673" s="11"/>
      <c r="D673" s="11"/>
      <c r="E673" s="11"/>
      <c r="F673" s="12" t="str">
        <f aca="false">IF(A673="","",SUM(C673:E673))</f>
        <v/>
      </c>
      <c r="G673" s="16" t="str">
        <f aca="false">IF(A673="","",IFERROR(INDEX(Productos!$K$2:$K$1001,MATCH(A673,Productos!$A$2:$A$1001,0)),""))</f>
        <v/>
      </c>
      <c r="H673" s="16" t="str">
        <f aca="false">IF(OR(A673="",G673=""),"",F673*G673)</f>
        <v/>
      </c>
    </row>
    <row r="674" customFormat="false" ht="15" hidden="false" customHeight="false" outlineLevel="0" collapsed="false">
      <c r="A674" s="11"/>
      <c r="B674" s="12" t="str">
        <f aca="false">IF(A674="","",IFERROR(INDEX(Productos!$D$2:$D$1001,MATCH(A674,Productos!$A$2:$A$1001,0))&amp;" — "&amp;INDEX(Productos!$E$2:$E$1001,MATCH(A674,Productos!$A$2:$A$1001,0)),"SKU no existe en Productos"))</f>
        <v/>
      </c>
      <c r="C674" s="11"/>
      <c r="D674" s="11"/>
      <c r="E674" s="11"/>
      <c r="F674" s="12" t="str">
        <f aca="false">IF(A674="","",SUM(C674:E674))</f>
        <v/>
      </c>
      <c r="G674" s="16" t="str">
        <f aca="false">IF(A674="","",IFERROR(INDEX(Productos!$K$2:$K$1001,MATCH(A674,Productos!$A$2:$A$1001,0)),""))</f>
        <v/>
      </c>
      <c r="H674" s="16" t="str">
        <f aca="false">IF(OR(A674="",G674=""),"",F674*G674)</f>
        <v/>
      </c>
    </row>
    <row r="675" customFormat="false" ht="15" hidden="false" customHeight="false" outlineLevel="0" collapsed="false">
      <c r="A675" s="11"/>
      <c r="B675" s="12" t="str">
        <f aca="false">IF(A675="","",IFERROR(INDEX(Productos!$D$2:$D$1001,MATCH(A675,Productos!$A$2:$A$1001,0))&amp;" — "&amp;INDEX(Productos!$E$2:$E$1001,MATCH(A675,Productos!$A$2:$A$1001,0)),"SKU no existe en Productos"))</f>
        <v/>
      </c>
      <c r="C675" s="11"/>
      <c r="D675" s="11"/>
      <c r="E675" s="11"/>
      <c r="F675" s="12" t="str">
        <f aca="false">IF(A675="","",SUM(C675:E675))</f>
        <v/>
      </c>
      <c r="G675" s="16" t="str">
        <f aca="false">IF(A675="","",IFERROR(INDEX(Productos!$K$2:$K$1001,MATCH(A675,Productos!$A$2:$A$1001,0)),""))</f>
        <v/>
      </c>
      <c r="H675" s="16" t="str">
        <f aca="false">IF(OR(A675="",G675=""),"",F675*G675)</f>
        <v/>
      </c>
    </row>
    <row r="676" customFormat="false" ht="15" hidden="false" customHeight="false" outlineLevel="0" collapsed="false">
      <c r="A676" s="11"/>
      <c r="B676" s="12" t="str">
        <f aca="false">IF(A676="","",IFERROR(INDEX(Productos!$D$2:$D$1001,MATCH(A676,Productos!$A$2:$A$1001,0))&amp;" — "&amp;INDEX(Productos!$E$2:$E$1001,MATCH(A676,Productos!$A$2:$A$1001,0)),"SKU no existe en Productos"))</f>
        <v/>
      </c>
      <c r="C676" s="11"/>
      <c r="D676" s="11"/>
      <c r="E676" s="11"/>
      <c r="F676" s="12" t="str">
        <f aca="false">IF(A676="","",SUM(C676:E676))</f>
        <v/>
      </c>
      <c r="G676" s="16" t="str">
        <f aca="false">IF(A676="","",IFERROR(INDEX(Productos!$K$2:$K$1001,MATCH(A676,Productos!$A$2:$A$1001,0)),""))</f>
        <v/>
      </c>
      <c r="H676" s="16" t="str">
        <f aca="false">IF(OR(A676="",G676=""),"",F676*G676)</f>
        <v/>
      </c>
    </row>
    <row r="677" customFormat="false" ht="15" hidden="false" customHeight="false" outlineLevel="0" collapsed="false">
      <c r="A677" s="11"/>
      <c r="B677" s="12" t="str">
        <f aca="false">IF(A677="","",IFERROR(INDEX(Productos!$D$2:$D$1001,MATCH(A677,Productos!$A$2:$A$1001,0))&amp;" — "&amp;INDEX(Productos!$E$2:$E$1001,MATCH(A677,Productos!$A$2:$A$1001,0)),"SKU no existe en Productos"))</f>
        <v/>
      </c>
      <c r="C677" s="11"/>
      <c r="D677" s="11"/>
      <c r="E677" s="11"/>
      <c r="F677" s="12" t="str">
        <f aca="false">IF(A677="","",SUM(C677:E677))</f>
        <v/>
      </c>
      <c r="G677" s="16" t="str">
        <f aca="false">IF(A677="","",IFERROR(INDEX(Productos!$K$2:$K$1001,MATCH(A677,Productos!$A$2:$A$1001,0)),""))</f>
        <v/>
      </c>
      <c r="H677" s="16" t="str">
        <f aca="false">IF(OR(A677="",G677=""),"",F677*G677)</f>
        <v/>
      </c>
    </row>
    <row r="678" customFormat="false" ht="15" hidden="false" customHeight="false" outlineLevel="0" collapsed="false">
      <c r="A678" s="11"/>
      <c r="B678" s="12" t="str">
        <f aca="false">IF(A678="","",IFERROR(INDEX(Productos!$D$2:$D$1001,MATCH(A678,Productos!$A$2:$A$1001,0))&amp;" — "&amp;INDEX(Productos!$E$2:$E$1001,MATCH(A678,Productos!$A$2:$A$1001,0)),"SKU no existe en Productos"))</f>
        <v/>
      </c>
      <c r="C678" s="11"/>
      <c r="D678" s="11"/>
      <c r="E678" s="11"/>
      <c r="F678" s="12" t="str">
        <f aca="false">IF(A678="","",SUM(C678:E678))</f>
        <v/>
      </c>
      <c r="G678" s="16" t="str">
        <f aca="false">IF(A678="","",IFERROR(INDEX(Productos!$K$2:$K$1001,MATCH(A678,Productos!$A$2:$A$1001,0)),""))</f>
        <v/>
      </c>
      <c r="H678" s="16" t="str">
        <f aca="false">IF(OR(A678="",G678=""),"",F678*G678)</f>
        <v/>
      </c>
    </row>
    <row r="679" customFormat="false" ht="15" hidden="false" customHeight="false" outlineLevel="0" collapsed="false">
      <c r="A679" s="11"/>
      <c r="B679" s="12" t="str">
        <f aca="false">IF(A679="","",IFERROR(INDEX(Productos!$D$2:$D$1001,MATCH(A679,Productos!$A$2:$A$1001,0))&amp;" — "&amp;INDEX(Productos!$E$2:$E$1001,MATCH(A679,Productos!$A$2:$A$1001,0)),"SKU no existe en Productos"))</f>
        <v/>
      </c>
      <c r="C679" s="11"/>
      <c r="D679" s="11"/>
      <c r="E679" s="11"/>
      <c r="F679" s="12" t="str">
        <f aca="false">IF(A679="","",SUM(C679:E679))</f>
        <v/>
      </c>
      <c r="G679" s="16" t="str">
        <f aca="false">IF(A679="","",IFERROR(INDEX(Productos!$K$2:$K$1001,MATCH(A679,Productos!$A$2:$A$1001,0)),""))</f>
        <v/>
      </c>
      <c r="H679" s="16" t="str">
        <f aca="false">IF(OR(A679="",G679=""),"",F679*G679)</f>
        <v/>
      </c>
    </row>
    <row r="680" customFormat="false" ht="15" hidden="false" customHeight="false" outlineLevel="0" collapsed="false">
      <c r="A680" s="11"/>
      <c r="B680" s="12" t="str">
        <f aca="false">IF(A680="","",IFERROR(INDEX(Productos!$D$2:$D$1001,MATCH(A680,Productos!$A$2:$A$1001,0))&amp;" — "&amp;INDEX(Productos!$E$2:$E$1001,MATCH(A680,Productos!$A$2:$A$1001,0)),"SKU no existe en Productos"))</f>
        <v/>
      </c>
      <c r="C680" s="11"/>
      <c r="D680" s="11"/>
      <c r="E680" s="11"/>
      <c r="F680" s="12" t="str">
        <f aca="false">IF(A680="","",SUM(C680:E680))</f>
        <v/>
      </c>
      <c r="G680" s="16" t="str">
        <f aca="false">IF(A680="","",IFERROR(INDEX(Productos!$K$2:$K$1001,MATCH(A680,Productos!$A$2:$A$1001,0)),""))</f>
        <v/>
      </c>
      <c r="H680" s="16" t="str">
        <f aca="false">IF(OR(A680="",G680=""),"",F680*G680)</f>
        <v/>
      </c>
    </row>
    <row r="681" customFormat="false" ht="15" hidden="false" customHeight="false" outlineLevel="0" collapsed="false">
      <c r="A681" s="11"/>
      <c r="B681" s="12" t="str">
        <f aca="false">IF(A681="","",IFERROR(INDEX(Productos!$D$2:$D$1001,MATCH(A681,Productos!$A$2:$A$1001,0))&amp;" — "&amp;INDEX(Productos!$E$2:$E$1001,MATCH(A681,Productos!$A$2:$A$1001,0)),"SKU no existe en Productos"))</f>
        <v/>
      </c>
      <c r="C681" s="11"/>
      <c r="D681" s="11"/>
      <c r="E681" s="11"/>
      <c r="F681" s="12" t="str">
        <f aca="false">IF(A681="","",SUM(C681:E681))</f>
        <v/>
      </c>
      <c r="G681" s="16" t="str">
        <f aca="false">IF(A681="","",IFERROR(INDEX(Productos!$K$2:$K$1001,MATCH(A681,Productos!$A$2:$A$1001,0)),""))</f>
        <v/>
      </c>
      <c r="H681" s="16" t="str">
        <f aca="false">IF(OR(A681="",G681=""),"",F681*G681)</f>
        <v/>
      </c>
    </row>
    <row r="682" customFormat="false" ht="15" hidden="false" customHeight="false" outlineLevel="0" collapsed="false">
      <c r="A682" s="11"/>
      <c r="B682" s="12" t="str">
        <f aca="false">IF(A682="","",IFERROR(INDEX(Productos!$D$2:$D$1001,MATCH(A682,Productos!$A$2:$A$1001,0))&amp;" — "&amp;INDEX(Productos!$E$2:$E$1001,MATCH(A682,Productos!$A$2:$A$1001,0)),"SKU no existe en Productos"))</f>
        <v/>
      </c>
      <c r="C682" s="11"/>
      <c r="D682" s="11"/>
      <c r="E682" s="11"/>
      <c r="F682" s="12" t="str">
        <f aca="false">IF(A682="","",SUM(C682:E682))</f>
        <v/>
      </c>
      <c r="G682" s="16" t="str">
        <f aca="false">IF(A682="","",IFERROR(INDEX(Productos!$K$2:$K$1001,MATCH(A682,Productos!$A$2:$A$1001,0)),""))</f>
        <v/>
      </c>
      <c r="H682" s="16" t="str">
        <f aca="false">IF(OR(A682="",G682=""),"",F682*G682)</f>
        <v/>
      </c>
    </row>
    <row r="683" customFormat="false" ht="15" hidden="false" customHeight="false" outlineLevel="0" collapsed="false">
      <c r="A683" s="11"/>
      <c r="B683" s="12" t="str">
        <f aca="false">IF(A683="","",IFERROR(INDEX(Productos!$D$2:$D$1001,MATCH(A683,Productos!$A$2:$A$1001,0))&amp;" — "&amp;INDEX(Productos!$E$2:$E$1001,MATCH(A683,Productos!$A$2:$A$1001,0)),"SKU no existe en Productos"))</f>
        <v/>
      </c>
      <c r="C683" s="11"/>
      <c r="D683" s="11"/>
      <c r="E683" s="11"/>
      <c r="F683" s="12" t="str">
        <f aca="false">IF(A683="","",SUM(C683:E683))</f>
        <v/>
      </c>
      <c r="G683" s="16" t="str">
        <f aca="false">IF(A683="","",IFERROR(INDEX(Productos!$K$2:$K$1001,MATCH(A683,Productos!$A$2:$A$1001,0)),""))</f>
        <v/>
      </c>
      <c r="H683" s="16" t="str">
        <f aca="false">IF(OR(A683="",G683=""),"",F683*G683)</f>
        <v/>
      </c>
    </row>
    <row r="684" customFormat="false" ht="15" hidden="false" customHeight="false" outlineLevel="0" collapsed="false">
      <c r="A684" s="11"/>
      <c r="B684" s="12" t="str">
        <f aca="false">IF(A684="","",IFERROR(INDEX(Productos!$D$2:$D$1001,MATCH(A684,Productos!$A$2:$A$1001,0))&amp;" — "&amp;INDEX(Productos!$E$2:$E$1001,MATCH(A684,Productos!$A$2:$A$1001,0)),"SKU no existe en Productos"))</f>
        <v/>
      </c>
      <c r="C684" s="11"/>
      <c r="D684" s="11"/>
      <c r="E684" s="11"/>
      <c r="F684" s="12" t="str">
        <f aca="false">IF(A684="","",SUM(C684:E684))</f>
        <v/>
      </c>
      <c r="G684" s="16" t="str">
        <f aca="false">IF(A684="","",IFERROR(INDEX(Productos!$K$2:$K$1001,MATCH(A684,Productos!$A$2:$A$1001,0)),""))</f>
        <v/>
      </c>
      <c r="H684" s="16" t="str">
        <f aca="false">IF(OR(A684="",G684=""),"",F684*G684)</f>
        <v/>
      </c>
    </row>
    <row r="685" customFormat="false" ht="15" hidden="false" customHeight="false" outlineLevel="0" collapsed="false">
      <c r="A685" s="11"/>
      <c r="B685" s="12" t="str">
        <f aca="false">IF(A685="","",IFERROR(INDEX(Productos!$D$2:$D$1001,MATCH(A685,Productos!$A$2:$A$1001,0))&amp;" — "&amp;INDEX(Productos!$E$2:$E$1001,MATCH(A685,Productos!$A$2:$A$1001,0)),"SKU no existe en Productos"))</f>
        <v/>
      </c>
      <c r="C685" s="11"/>
      <c r="D685" s="11"/>
      <c r="E685" s="11"/>
      <c r="F685" s="12" t="str">
        <f aca="false">IF(A685="","",SUM(C685:E685))</f>
        <v/>
      </c>
      <c r="G685" s="16" t="str">
        <f aca="false">IF(A685="","",IFERROR(INDEX(Productos!$K$2:$K$1001,MATCH(A685,Productos!$A$2:$A$1001,0)),""))</f>
        <v/>
      </c>
      <c r="H685" s="16" t="str">
        <f aca="false">IF(OR(A685="",G685=""),"",F685*G685)</f>
        <v/>
      </c>
    </row>
    <row r="686" customFormat="false" ht="15" hidden="false" customHeight="false" outlineLevel="0" collapsed="false">
      <c r="A686" s="11"/>
      <c r="B686" s="12" t="str">
        <f aca="false">IF(A686="","",IFERROR(INDEX(Productos!$D$2:$D$1001,MATCH(A686,Productos!$A$2:$A$1001,0))&amp;" — "&amp;INDEX(Productos!$E$2:$E$1001,MATCH(A686,Productos!$A$2:$A$1001,0)),"SKU no existe en Productos"))</f>
        <v/>
      </c>
      <c r="C686" s="11"/>
      <c r="D686" s="11"/>
      <c r="E686" s="11"/>
      <c r="F686" s="12" t="str">
        <f aca="false">IF(A686="","",SUM(C686:E686))</f>
        <v/>
      </c>
      <c r="G686" s="16" t="str">
        <f aca="false">IF(A686="","",IFERROR(INDEX(Productos!$K$2:$K$1001,MATCH(A686,Productos!$A$2:$A$1001,0)),""))</f>
        <v/>
      </c>
      <c r="H686" s="16" t="str">
        <f aca="false">IF(OR(A686="",G686=""),"",F686*G686)</f>
        <v/>
      </c>
    </row>
    <row r="687" customFormat="false" ht="15" hidden="false" customHeight="false" outlineLevel="0" collapsed="false">
      <c r="A687" s="11"/>
      <c r="B687" s="12" t="str">
        <f aca="false">IF(A687="","",IFERROR(INDEX(Productos!$D$2:$D$1001,MATCH(A687,Productos!$A$2:$A$1001,0))&amp;" — "&amp;INDEX(Productos!$E$2:$E$1001,MATCH(A687,Productos!$A$2:$A$1001,0)),"SKU no existe en Productos"))</f>
        <v/>
      </c>
      <c r="C687" s="11"/>
      <c r="D687" s="11"/>
      <c r="E687" s="11"/>
      <c r="F687" s="12" t="str">
        <f aca="false">IF(A687="","",SUM(C687:E687))</f>
        <v/>
      </c>
      <c r="G687" s="16" t="str">
        <f aca="false">IF(A687="","",IFERROR(INDEX(Productos!$K$2:$K$1001,MATCH(A687,Productos!$A$2:$A$1001,0)),""))</f>
        <v/>
      </c>
      <c r="H687" s="16" t="str">
        <f aca="false">IF(OR(A687="",G687=""),"",F687*G687)</f>
        <v/>
      </c>
    </row>
    <row r="688" customFormat="false" ht="15" hidden="false" customHeight="false" outlineLevel="0" collapsed="false">
      <c r="A688" s="11"/>
      <c r="B688" s="12" t="str">
        <f aca="false">IF(A688="","",IFERROR(INDEX(Productos!$D$2:$D$1001,MATCH(A688,Productos!$A$2:$A$1001,0))&amp;" — "&amp;INDEX(Productos!$E$2:$E$1001,MATCH(A688,Productos!$A$2:$A$1001,0)),"SKU no existe en Productos"))</f>
        <v/>
      </c>
      <c r="C688" s="11"/>
      <c r="D688" s="11"/>
      <c r="E688" s="11"/>
      <c r="F688" s="12" t="str">
        <f aca="false">IF(A688="","",SUM(C688:E688))</f>
        <v/>
      </c>
      <c r="G688" s="16" t="str">
        <f aca="false">IF(A688="","",IFERROR(INDEX(Productos!$K$2:$K$1001,MATCH(A688,Productos!$A$2:$A$1001,0)),""))</f>
        <v/>
      </c>
      <c r="H688" s="16" t="str">
        <f aca="false">IF(OR(A688="",G688=""),"",F688*G688)</f>
        <v/>
      </c>
    </row>
    <row r="689" customFormat="false" ht="15" hidden="false" customHeight="false" outlineLevel="0" collapsed="false">
      <c r="A689" s="11"/>
      <c r="B689" s="12" t="str">
        <f aca="false">IF(A689="","",IFERROR(INDEX(Productos!$D$2:$D$1001,MATCH(A689,Productos!$A$2:$A$1001,0))&amp;" — "&amp;INDEX(Productos!$E$2:$E$1001,MATCH(A689,Productos!$A$2:$A$1001,0)),"SKU no existe en Productos"))</f>
        <v/>
      </c>
      <c r="C689" s="11"/>
      <c r="D689" s="11"/>
      <c r="E689" s="11"/>
      <c r="F689" s="12" t="str">
        <f aca="false">IF(A689="","",SUM(C689:E689))</f>
        <v/>
      </c>
      <c r="G689" s="16" t="str">
        <f aca="false">IF(A689="","",IFERROR(INDEX(Productos!$K$2:$K$1001,MATCH(A689,Productos!$A$2:$A$1001,0)),""))</f>
        <v/>
      </c>
      <c r="H689" s="16" t="str">
        <f aca="false">IF(OR(A689="",G689=""),"",F689*G689)</f>
        <v/>
      </c>
    </row>
    <row r="690" customFormat="false" ht="15" hidden="false" customHeight="false" outlineLevel="0" collapsed="false">
      <c r="A690" s="11"/>
      <c r="B690" s="12" t="str">
        <f aca="false">IF(A690="","",IFERROR(INDEX(Productos!$D$2:$D$1001,MATCH(A690,Productos!$A$2:$A$1001,0))&amp;" — "&amp;INDEX(Productos!$E$2:$E$1001,MATCH(A690,Productos!$A$2:$A$1001,0)),"SKU no existe en Productos"))</f>
        <v/>
      </c>
      <c r="C690" s="11"/>
      <c r="D690" s="11"/>
      <c r="E690" s="11"/>
      <c r="F690" s="12" t="str">
        <f aca="false">IF(A690="","",SUM(C690:E690))</f>
        <v/>
      </c>
      <c r="G690" s="16" t="str">
        <f aca="false">IF(A690="","",IFERROR(INDEX(Productos!$K$2:$K$1001,MATCH(A690,Productos!$A$2:$A$1001,0)),""))</f>
        <v/>
      </c>
      <c r="H690" s="16" t="str">
        <f aca="false">IF(OR(A690="",G690=""),"",F690*G690)</f>
        <v/>
      </c>
    </row>
    <row r="691" customFormat="false" ht="15" hidden="false" customHeight="false" outlineLevel="0" collapsed="false">
      <c r="A691" s="11"/>
      <c r="B691" s="12" t="str">
        <f aca="false">IF(A691="","",IFERROR(INDEX(Productos!$D$2:$D$1001,MATCH(A691,Productos!$A$2:$A$1001,0))&amp;" — "&amp;INDEX(Productos!$E$2:$E$1001,MATCH(A691,Productos!$A$2:$A$1001,0)),"SKU no existe en Productos"))</f>
        <v/>
      </c>
      <c r="C691" s="11"/>
      <c r="D691" s="11"/>
      <c r="E691" s="11"/>
      <c r="F691" s="12" t="str">
        <f aca="false">IF(A691="","",SUM(C691:E691))</f>
        <v/>
      </c>
      <c r="G691" s="16" t="str">
        <f aca="false">IF(A691="","",IFERROR(INDEX(Productos!$K$2:$K$1001,MATCH(A691,Productos!$A$2:$A$1001,0)),""))</f>
        <v/>
      </c>
      <c r="H691" s="16" t="str">
        <f aca="false">IF(OR(A691="",G691=""),"",F691*G691)</f>
        <v/>
      </c>
    </row>
    <row r="692" customFormat="false" ht="15" hidden="false" customHeight="false" outlineLevel="0" collapsed="false">
      <c r="A692" s="11"/>
      <c r="B692" s="12" t="str">
        <f aca="false">IF(A692="","",IFERROR(INDEX(Productos!$D$2:$D$1001,MATCH(A692,Productos!$A$2:$A$1001,0))&amp;" — "&amp;INDEX(Productos!$E$2:$E$1001,MATCH(A692,Productos!$A$2:$A$1001,0)),"SKU no existe en Productos"))</f>
        <v/>
      </c>
      <c r="C692" s="11"/>
      <c r="D692" s="11"/>
      <c r="E692" s="11"/>
      <c r="F692" s="12" t="str">
        <f aca="false">IF(A692="","",SUM(C692:E692))</f>
        <v/>
      </c>
      <c r="G692" s="16" t="str">
        <f aca="false">IF(A692="","",IFERROR(INDEX(Productos!$K$2:$K$1001,MATCH(A692,Productos!$A$2:$A$1001,0)),""))</f>
        <v/>
      </c>
      <c r="H692" s="16" t="str">
        <f aca="false">IF(OR(A692="",G692=""),"",F692*G692)</f>
        <v/>
      </c>
    </row>
    <row r="693" customFormat="false" ht="15" hidden="false" customHeight="false" outlineLevel="0" collapsed="false">
      <c r="A693" s="11"/>
      <c r="B693" s="12" t="str">
        <f aca="false">IF(A693="","",IFERROR(INDEX(Productos!$D$2:$D$1001,MATCH(A693,Productos!$A$2:$A$1001,0))&amp;" — "&amp;INDEX(Productos!$E$2:$E$1001,MATCH(A693,Productos!$A$2:$A$1001,0)),"SKU no existe en Productos"))</f>
        <v/>
      </c>
      <c r="C693" s="11"/>
      <c r="D693" s="11"/>
      <c r="E693" s="11"/>
      <c r="F693" s="12" t="str">
        <f aca="false">IF(A693="","",SUM(C693:E693))</f>
        <v/>
      </c>
      <c r="G693" s="16" t="str">
        <f aca="false">IF(A693="","",IFERROR(INDEX(Productos!$K$2:$K$1001,MATCH(A693,Productos!$A$2:$A$1001,0)),""))</f>
        <v/>
      </c>
      <c r="H693" s="16" t="str">
        <f aca="false">IF(OR(A693="",G693=""),"",F693*G693)</f>
        <v/>
      </c>
    </row>
    <row r="694" customFormat="false" ht="15" hidden="false" customHeight="false" outlineLevel="0" collapsed="false">
      <c r="A694" s="11"/>
      <c r="B694" s="12" t="str">
        <f aca="false">IF(A694="","",IFERROR(INDEX(Productos!$D$2:$D$1001,MATCH(A694,Productos!$A$2:$A$1001,0))&amp;" — "&amp;INDEX(Productos!$E$2:$E$1001,MATCH(A694,Productos!$A$2:$A$1001,0)),"SKU no existe en Productos"))</f>
        <v/>
      </c>
      <c r="C694" s="11"/>
      <c r="D694" s="11"/>
      <c r="E694" s="11"/>
      <c r="F694" s="12" t="str">
        <f aca="false">IF(A694="","",SUM(C694:E694))</f>
        <v/>
      </c>
      <c r="G694" s="16" t="str">
        <f aca="false">IF(A694="","",IFERROR(INDEX(Productos!$K$2:$K$1001,MATCH(A694,Productos!$A$2:$A$1001,0)),""))</f>
        <v/>
      </c>
      <c r="H694" s="16" t="str">
        <f aca="false">IF(OR(A694="",G694=""),"",F694*G694)</f>
        <v/>
      </c>
    </row>
    <row r="695" customFormat="false" ht="15" hidden="false" customHeight="false" outlineLevel="0" collapsed="false">
      <c r="A695" s="11"/>
      <c r="B695" s="12" t="str">
        <f aca="false">IF(A695="","",IFERROR(INDEX(Productos!$D$2:$D$1001,MATCH(A695,Productos!$A$2:$A$1001,0))&amp;" — "&amp;INDEX(Productos!$E$2:$E$1001,MATCH(A695,Productos!$A$2:$A$1001,0)),"SKU no existe en Productos"))</f>
        <v/>
      </c>
      <c r="C695" s="11"/>
      <c r="D695" s="11"/>
      <c r="E695" s="11"/>
      <c r="F695" s="12" t="str">
        <f aca="false">IF(A695="","",SUM(C695:E695))</f>
        <v/>
      </c>
      <c r="G695" s="16" t="str">
        <f aca="false">IF(A695="","",IFERROR(INDEX(Productos!$K$2:$K$1001,MATCH(A695,Productos!$A$2:$A$1001,0)),""))</f>
        <v/>
      </c>
      <c r="H695" s="16" t="str">
        <f aca="false">IF(OR(A695="",G695=""),"",F695*G695)</f>
        <v/>
      </c>
    </row>
    <row r="696" customFormat="false" ht="15" hidden="false" customHeight="false" outlineLevel="0" collapsed="false">
      <c r="A696" s="11"/>
      <c r="B696" s="12" t="str">
        <f aca="false">IF(A696="","",IFERROR(INDEX(Productos!$D$2:$D$1001,MATCH(A696,Productos!$A$2:$A$1001,0))&amp;" — "&amp;INDEX(Productos!$E$2:$E$1001,MATCH(A696,Productos!$A$2:$A$1001,0)),"SKU no existe en Productos"))</f>
        <v/>
      </c>
      <c r="C696" s="11"/>
      <c r="D696" s="11"/>
      <c r="E696" s="11"/>
      <c r="F696" s="12" t="str">
        <f aca="false">IF(A696="","",SUM(C696:E696))</f>
        <v/>
      </c>
      <c r="G696" s="16" t="str">
        <f aca="false">IF(A696="","",IFERROR(INDEX(Productos!$K$2:$K$1001,MATCH(A696,Productos!$A$2:$A$1001,0)),""))</f>
        <v/>
      </c>
      <c r="H696" s="16" t="str">
        <f aca="false">IF(OR(A696="",G696=""),"",F696*G696)</f>
        <v/>
      </c>
    </row>
    <row r="697" customFormat="false" ht="15" hidden="false" customHeight="false" outlineLevel="0" collapsed="false">
      <c r="A697" s="11"/>
      <c r="B697" s="12" t="str">
        <f aca="false">IF(A697="","",IFERROR(INDEX(Productos!$D$2:$D$1001,MATCH(A697,Productos!$A$2:$A$1001,0))&amp;" — "&amp;INDEX(Productos!$E$2:$E$1001,MATCH(A697,Productos!$A$2:$A$1001,0)),"SKU no existe en Productos"))</f>
        <v/>
      </c>
      <c r="C697" s="11"/>
      <c r="D697" s="11"/>
      <c r="E697" s="11"/>
      <c r="F697" s="12" t="str">
        <f aca="false">IF(A697="","",SUM(C697:E697))</f>
        <v/>
      </c>
      <c r="G697" s="16" t="str">
        <f aca="false">IF(A697="","",IFERROR(INDEX(Productos!$K$2:$K$1001,MATCH(A697,Productos!$A$2:$A$1001,0)),""))</f>
        <v/>
      </c>
      <c r="H697" s="16" t="str">
        <f aca="false">IF(OR(A697="",G697=""),"",F697*G697)</f>
        <v/>
      </c>
    </row>
    <row r="698" customFormat="false" ht="15" hidden="false" customHeight="false" outlineLevel="0" collapsed="false">
      <c r="A698" s="11"/>
      <c r="B698" s="12" t="str">
        <f aca="false">IF(A698="","",IFERROR(INDEX(Productos!$D$2:$D$1001,MATCH(A698,Productos!$A$2:$A$1001,0))&amp;" — "&amp;INDEX(Productos!$E$2:$E$1001,MATCH(A698,Productos!$A$2:$A$1001,0)),"SKU no existe en Productos"))</f>
        <v/>
      </c>
      <c r="C698" s="11"/>
      <c r="D698" s="11"/>
      <c r="E698" s="11"/>
      <c r="F698" s="12" t="str">
        <f aca="false">IF(A698="","",SUM(C698:E698))</f>
        <v/>
      </c>
      <c r="G698" s="16" t="str">
        <f aca="false">IF(A698="","",IFERROR(INDEX(Productos!$K$2:$K$1001,MATCH(A698,Productos!$A$2:$A$1001,0)),""))</f>
        <v/>
      </c>
      <c r="H698" s="16" t="str">
        <f aca="false">IF(OR(A698="",G698=""),"",F698*G698)</f>
        <v/>
      </c>
    </row>
    <row r="699" customFormat="false" ht="15" hidden="false" customHeight="false" outlineLevel="0" collapsed="false">
      <c r="A699" s="11"/>
      <c r="B699" s="12" t="str">
        <f aca="false">IF(A699="","",IFERROR(INDEX(Productos!$D$2:$D$1001,MATCH(A699,Productos!$A$2:$A$1001,0))&amp;" — "&amp;INDEX(Productos!$E$2:$E$1001,MATCH(A699,Productos!$A$2:$A$1001,0)),"SKU no existe en Productos"))</f>
        <v/>
      </c>
      <c r="C699" s="11"/>
      <c r="D699" s="11"/>
      <c r="E699" s="11"/>
      <c r="F699" s="12" t="str">
        <f aca="false">IF(A699="","",SUM(C699:E699))</f>
        <v/>
      </c>
      <c r="G699" s="16" t="str">
        <f aca="false">IF(A699="","",IFERROR(INDEX(Productos!$K$2:$K$1001,MATCH(A699,Productos!$A$2:$A$1001,0)),""))</f>
        <v/>
      </c>
      <c r="H699" s="16" t="str">
        <f aca="false">IF(OR(A699="",G699=""),"",F699*G699)</f>
        <v/>
      </c>
    </row>
    <row r="700" customFormat="false" ht="15" hidden="false" customHeight="false" outlineLevel="0" collapsed="false">
      <c r="A700" s="11"/>
      <c r="B700" s="12" t="str">
        <f aca="false">IF(A700="","",IFERROR(INDEX(Productos!$D$2:$D$1001,MATCH(A700,Productos!$A$2:$A$1001,0))&amp;" — "&amp;INDEX(Productos!$E$2:$E$1001,MATCH(A700,Productos!$A$2:$A$1001,0)),"SKU no existe en Productos"))</f>
        <v/>
      </c>
      <c r="C700" s="11"/>
      <c r="D700" s="11"/>
      <c r="E700" s="11"/>
      <c r="F700" s="12" t="str">
        <f aca="false">IF(A700="","",SUM(C700:E700))</f>
        <v/>
      </c>
      <c r="G700" s="16" t="str">
        <f aca="false">IF(A700="","",IFERROR(INDEX(Productos!$K$2:$K$1001,MATCH(A700,Productos!$A$2:$A$1001,0)),""))</f>
        <v/>
      </c>
      <c r="H700" s="16" t="str">
        <f aca="false">IF(OR(A700="",G700=""),"",F700*G700)</f>
        <v/>
      </c>
    </row>
    <row r="701" customFormat="false" ht="15" hidden="false" customHeight="false" outlineLevel="0" collapsed="false">
      <c r="A701" s="11"/>
      <c r="B701" s="12" t="str">
        <f aca="false">IF(A701="","",IFERROR(INDEX(Productos!$D$2:$D$1001,MATCH(A701,Productos!$A$2:$A$1001,0))&amp;" — "&amp;INDEX(Productos!$E$2:$E$1001,MATCH(A701,Productos!$A$2:$A$1001,0)),"SKU no existe en Productos"))</f>
        <v/>
      </c>
      <c r="C701" s="11"/>
      <c r="D701" s="11"/>
      <c r="E701" s="11"/>
      <c r="F701" s="12" t="str">
        <f aca="false">IF(A701="","",SUM(C701:E701))</f>
        <v/>
      </c>
      <c r="G701" s="16" t="str">
        <f aca="false">IF(A701="","",IFERROR(INDEX(Productos!$K$2:$K$1001,MATCH(A701,Productos!$A$2:$A$1001,0)),""))</f>
        <v/>
      </c>
      <c r="H701" s="16" t="str">
        <f aca="false">IF(OR(A701="",G701=""),"",F701*G701)</f>
        <v/>
      </c>
    </row>
    <row r="702" customFormat="false" ht="15" hidden="false" customHeight="false" outlineLevel="0" collapsed="false">
      <c r="A702" s="11"/>
      <c r="B702" s="12" t="str">
        <f aca="false">IF(A702="","",IFERROR(INDEX(Productos!$D$2:$D$1001,MATCH(A702,Productos!$A$2:$A$1001,0))&amp;" — "&amp;INDEX(Productos!$E$2:$E$1001,MATCH(A702,Productos!$A$2:$A$1001,0)),"SKU no existe en Productos"))</f>
        <v/>
      </c>
      <c r="C702" s="11"/>
      <c r="D702" s="11"/>
      <c r="E702" s="11"/>
      <c r="F702" s="12" t="str">
        <f aca="false">IF(A702="","",SUM(C702:E702))</f>
        <v/>
      </c>
      <c r="G702" s="16" t="str">
        <f aca="false">IF(A702="","",IFERROR(INDEX(Productos!$K$2:$K$1001,MATCH(A702,Productos!$A$2:$A$1001,0)),""))</f>
        <v/>
      </c>
      <c r="H702" s="16" t="str">
        <f aca="false">IF(OR(A702="",G702=""),"",F702*G702)</f>
        <v/>
      </c>
    </row>
    <row r="703" customFormat="false" ht="15" hidden="false" customHeight="false" outlineLevel="0" collapsed="false">
      <c r="A703" s="11"/>
      <c r="B703" s="12" t="str">
        <f aca="false">IF(A703="","",IFERROR(INDEX(Productos!$D$2:$D$1001,MATCH(A703,Productos!$A$2:$A$1001,0))&amp;" — "&amp;INDEX(Productos!$E$2:$E$1001,MATCH(A703,Productos!$A$2:$A$1001,0)),"SKU no existe en Productos"))</f>
        <v/>
      </c>
      <c r="C703" s="11"/>
      <c r="D703" s="11"/>
      <c r="E703" s="11"/>
      <c r="F703" s="12" t="str">
        <f aca="false">IF(A703="","",SUM(C703:E703))</f>
        <v/>
      </c>
      <c r="G703" s="16" t="str">
        <f aca="false">IF(A703="","",IFERROR(INDEX(Productos!$K$2:$K$1001,MATCH(A703,Productos!$A$2:$A$1001,0)),""))</f>
        <v/>
      </c>
      <c r="H703" s="16" t="str">
        <f aca="false">IF(OR(A703="",G703=""),"",F703*G703)</f>
        <v/>
      </c>
    </row>
    <row r="704" customFormat="false" ht="15" hidden="false" customHeight="false" outlineLevel="0" collapsed="false">
      <c r="A704" s="11"/>
      <c r="B704" s="12" t="str">
        <f aca="false">IF(A704="","",IFERROR(INDEX(Productos!$D$2:$D$1001,MATCH(A704,Productos!$A$2:$A$1001,0))&amp;" — "&amp;INDEX(Productos!$E$2:$E$1001,MATCH(A704,Productos!$A$2:$A$1001,0)),"SKU no existe en Productos"))</f>
        <v/>
      </c>
      <c r="C704" s="11"/>
      <c r="D704" s="11"/>
      <c r="E704" s="11"/>
      <c r="F704" s="12" t="str">
        <f aca="false">IF(A704="","",SUM(C704:E704))</f>
        <v/>
      </c>
      <c r="G704" s="16" t="str">
        <f aca="false">IF(A704="","",IFERROR(INDEX(Productos!$K$2:$K$1001,MATCH(A704,Productos!$A$2:$A$1001,0)),""))</f>
        <v/>
      </c>
      <c r="H704" s="16" t="str">
        <f aca="false">IF(OR(A704="",G704=""),"",F704*G704)</f>
        <v/>
      </c>
    </row>
    <row r="705" customFormat="false" ht="15" hidden="false" customHeight="false" outlineLevel="0" collapsed="false">
      <c r="A705" s="11"/>
      <c r="B705" s="12" t="str">
        <f aca="false">IF(A705="","",IFERROR(INDEX(Productos!$D$2:$D$1001,MATCH(A705,Productos!$A$2:$A$1001,0))&amp;" — "&amp;INDEX(Productos!$E$2:$E$1001,MATCH(A705,Productos!$A$2:$A$1001,0)),"SKU no existe en Productos"))</f>
        <v/>
      </c>
      <c r="C705" s="11"/>
      <c r="D705" s="11"/>
      <c r="E705" s="11"/>
      <c r="F705" s="12" t="str">
        <f aca="false">IF(A705="","",SUM(C705:E705))</f>
        <v/>
      </c>
      <c r="G705" s="16" t="str">
        <f aca="false">IF(A705="","",IFERROR(INDEX(Productos!$K$2:$K$1001,MATCH(A705,Productos!$A$2:$A$1001,0)),""))</f>
        <v/>
      </c>
      <c r="H705" s="16" t="str">
        <f aca="false">IF(OR(A705="",G705=""),"",F705*G705)</f>
        <v/>
      </c>
    </row>
    <row r="706" customFormat="false" ht="15" hidden="false" customHeight="false" outlineLevel="0" collapsed="false">
      <c r="A706" s="11"/>
      <c r="B706" s="12" t="str">
        <f aca="false">IF(A706="","",IFERROR(INDEX(Productos!$D$2:$D$1001,MATCH(A706,Productos!$A$2:$A$1001,0))&amp;" — "&amp;INDEX(Productos!$E$2:$E$1001,MATCH(A706,Productos!$A$2:$A$1001,0)),"SKU no existe en Productos"))</f>
        <v/>
      </c>
      <c r="C706" s="11"/>
      <c r="D706" s="11"/>
      <c r="E706" s="11"/>
      <c r="F706" s="12" t="str">
        <f aca="false">IF(A706="","",SUM(C706:E706))</f>
        <v/>
      </c>
      <c r="G706" s="16" t="str">
        <f aca="false">IF(A706="","",IFERROR(INDEX(Productos!$K$2:$K$1001,MATCH(A706,Productos!$A$2:$A$1001,0)),""))</f>
        <v/>
      </c>
      <c r="H706" s="16" t="str">
        <f aca="false">IF(OR(A706="",G706=""),"",F706*G706)</f>
        <v/>
      </c>
    </row>
    <row r="707" customFormat="false" ht="15" hidden="false" customHeight="false" outlineLevel="0" collapsed="false">
      <c r="A707" s="11"/>
      <c r="B707" s="12" t="str">
        <f aca="false">IF(A707="","",IFERROR(INDEX(Productos!$D$2:$D$1001,MATCH(A707,Productos!$A$2:$A$1001,0))&amp;" — "&amp;INDEX(Productos!$E$2:$E$1001,MATCH(A707,Productos!$A$2:$A$1001,0)),"SKU no existe en Productos"))</f>
        <v/>
      </c>
      <c r="C707" s="11"/>
      <c r="D707" s="11"/>
      <c r="E707" s="11"/>
      <c r="F707" s="12" t="str">
        <f aca="false">IF(A707="","",SUM(C707:E707))</f>
        <v/>
      </c>
      <c r="G707" s="16" t="str">
        <f aca="false">IF(A707="","",IFERROR(INDEX(Productos!$K$2:$K$1001,MATCH(A707,Productos!$A$2:$A$1001,0)),""))</f>
        <v/>
      </c>
      <c r="H707" s="16" t="str">
        <f aca="false">IF(OR(A707="",G707=""),"",F707*G707)</f>
        <v/>
      </c>
    </row>
    <row r="708" customFormat="false" ht="15" hidden="false" customHeight="false" outlineLevel="0" collapsed="false">
      <c r="A708" s="11"/>
      <c r="B708" s="12" t="str">
        <f aca="false">IF(A708="","",IFERROR(INDEX(Productos!$D$2:$D$1001,MATCH(A708,Productos!$A$2:$A$1001,0))&amp;" — "&amp;INDEX(Productos!$E$2:$E$1001,MATCH(A708,Productos!$A$2:$A$1001,0)),"SKU no existe en Productos"))</f>
        <v/>
      </c>
      <c r="C708" s="11"/>
      <c r="D708" s="11"/>
      <c r="E708" s="11"/>
      <c r="F708" s="12" t="str">
        <f aca="false">IF(A708="","",SUM(C708:E708))</f>
        <v/>
      </c>
      <c r="G708" s="16" t="str">
        <f aca="false">IF(A708="","",IFERROR(INDEX(Productos!$K$2:$K$1001,MATCH(A708,Productos!$A$2:$A$1001,0)),""))</f>
        <v/>
      </c>
      <c r="H708" s="16" t="str">
        <f aca="false">IF(OR(A708="",G708=""),"",F708*G708)</f>
        <v/>
      </c>
    </row>
    <row r="709" customFormat="false" ht="15" hidden="false" customHeight="false" outlineLevel="0" collapsed="false">
      <c r="A709" s="11"/>
      <c r="B709" s="12" t="str">
        <f aca="false">IF(A709="","",IFERROR(INDEX(Productos!$D$2:$D$1001,MATCH(A709,Productos!$A$2:$A$1001,0))&amp;" — "&amp;INDEX(Productos!$E$2:$E$1001,MATCH(A709,Productos!$A$2:$A$1001,0)),"SKU no existe en Productos"))</f>
        <v/>
      </c>
      <c r="C709" s="11"/>
      <c r="D709" s="11"/>
      <c r="E709" s="11"/>
      <c r="F709" s="12" t="str">
        <f aca="false">IF(A709="","",SUM(C709:E709))</f>
        <v/>
      </c>
      <c r="G709" s="16" t="str">
        <f aca="false">IF(A709="","",IFERROR(INDEX(Productos!$K$2:$K$1001,MATCH(A709,Productos!$A$2:$A$1001,0)),""))</f>
        <v/>
      </c>
      <c r="H709" s="16" t="str">
        <f aca="false">IF(OR(A709="",G709=""),"",F709*G709)</f>
        <v/>
      </c>
    </row>
    <row r="710" customFormat="false" ht="15" hidden="false" customHeight="false" outlineLevel="0" collapsed="false">
      <c r="A710" s="11"/>
      <c r="B710" s="12" t="str">
        <f aca="false">IF(A710="","",IFERROR(INDEX(Productos!$D$2:$D$1001,MATCH(A710,Productos!$A$2:$A$1001,0))&amp;" — "&amp;INDEX(Productos!$E$2:$E$1001,MATCH(A710,Productos!$A$2:$A$1001,0)),"SKU no existe en Productos"))</f>
        <v/>
      </c>
      <c r="C710" s="11"/>
      <c r="D710" s="11"/>
      <c r="E710" s="11"/>
      <c r="F710" s="12" t="str">
        <f aca="false">IF(A710="","",SUM(C710:E710))</f>
        <v/>
      </c>
      <c r="G710" s="16" t="str">
        <f aca="false">IF(A710="","",IFERROR(INDEX(Productos!$K$2:$K$1001,MATCH(A710,Productos!$A$2:$A$1001,0)),""))</f>
        <v/>
      </c>
      <c r="H710" s="16" t="str">
        <f aca="false">IF(OR(A710="",G710=""),"",F710*G710)</f>
        <v/>
      </c>
    </row>
    <row r="711" customFormat="false" ht="15" hidden="false" customHeight="false" outlineLevel="0" collapsed="false">
      <c r="A711" s="11"/>
      <c r="B711" s="12" t="str">
        <f aca="false">IF(A711="","",IFERROR(INDEX(Productos!$D$2:$D$1001,MATCH(A711,Productos!$A$2:$A$1001,0))&amp;" — "&amp;INDEX(Productos!$E$2:$E$1001,MATCH(A711,Productos!$A$2:$A$1001,0)),"SKU no existe en Productos"))</f>
        <v/>
      </c>
      <c r="C711" s="11"/>
      <c r="D711" s="11"/>
      <c r="E711" s="11"/>
      <c r="F711" s="12" t="str">
        <f aca="false">IF(A711="","",SUM(C711:E711))</f>
        <v/>
      </c>
      <c r="G711" s="16" t="str">
        <f aca="false">IF(A711="","",IFERROR(INDEX(Productos!$K$2:$K$1001,MATCH(A711,Productos!$A$2:$A$1001,0)),""))</f>
        <v/>
      </c>
      <c r="H711" s="16" t="str">
        <f aca="false">IF(OR(A711="",G711=""),"",F711*G711)</f>
        <v/>
      </c>
    </row>
    <row r="712" customFormat="false" ht="15" hidden="false" customHeight="false" outlineLevel="0" collapsed="false">
      <c r="A712" s="11"/>
      <c r="B712" s="12" t="str">
        <f aca="false">IF(A712="","",IFERROR(INDEX(Productos!$D$2:$D$1001,MATCH(A712,Productos!$A$2:$A$1001,0))&amp;" — "&amp;INDEX(Productos!$E$2:$E$1001,MATCH(A712,Productos!$A$2:$A$1001,0)),"SKU no existe en Productos"))</f>
        <v/>
      </c>
      <c r="C712" s="11"/>
      <c r="D712" s="11"/>
      <c r="E712" s="11"/>
      <c r="F712" s="12" t="str">
        <f aca="false">IF(A712="","",SUM(C712:E712))</f>
        <v/>
      </c>
      <c r="G712" s="16" t="str">
        <f aca="false">IF(A712="","",IFERROR(INDEX(Productos!$K$2:$K$1001,MATCH(A712,Productos!$A$2:$A$1001,0)),""))</f>
        <v/>
      </c>
      <c r="H712" s="16" t="str">
        <f aca="false">IF(OR(A712="",G712=""),"",F712*G712)</f>
        <v/>
      </c>
    </row>
    <row r="713" customFormat="false" ht="15" hidden="false" customHeight="false" outlineLevel="0" collapsed="false">
      <c r="A713" s="11"/>
      <c r="B713" s="12" t="str">
        <f aca="false">IF(A713="","",IFERROR(INDEX(Productos!$D$2:$D$1001,MATCH(A713,Productos!$A$2:$A$1001,0))&amp;" — "&amp;INDEX(Productos!$E$2:$E$1001,MATCH(A713,Productos!$A$2:$A$1001,0)),"SKU no existe en Productos"))</f>
        <v/>
      </c>
      <c r="C713" s="11"/>
      <c r="D713" s="11"/>
      <c r="E713" s="11"/>
      <c r="F713" s="12" t="str">
        <f aca="false">IF(A713="","",SUM(C713:E713))</f>
        <v/>
      </c>
      <c r="G713" s="16" t="str">
        <f aca="false">IF(A713="","",IFERROR(INDEX(Productos!$K$2:$K$1001,MATCH(A713,Productos!$A$2:$A$1001,0)),""))</f>
        <v/>
      </c>
      <c r="H713" s="16" t="str">
        <f aca="false">IF(OR(A713="",G713=""),"",F713*G713)</f>
        <v/>
      </c>
    </row>
    <row r="714" customFormat="false" ht="15" hidden="false" customHeight="false" outlineLevel="0" collapsed="false">
      <c r="A714" s="11"/>
      <c r="B714" s="12" t="str">
        <f aca="false">IF(A714="","",IFERROR(INDEX(Productos!$D$2:$D$1001,MATCH(A714,Productos!$A$2:$A$1001,0))&amp;" — "&amp;INDEX(Productos!$E$2:$E$1001,MATCH(A714,Productos!$A$2:$A$1001,0)),"SKU no existe en Productos"))</f>
        <v/>
      </c>
      <c r="C714" s="11"/>
      <c r="D714" s="11"/>
      <c r="E714" s="11"/>
      <c r="F714" s="12" t="str">
        <f aca="false">IF(A714="","",SUM(C714:E714))</f>
        <v/>
      </c>
      <c r="G714" s="16" t="str">
        <f aca="false">IF(A714="","",IFERROR(INDEX(Productos!$K$2:$K$1001,MATCH(A714,Productos!$A$2:$A$1001,0)),""))</f>
        <v/>
      </c>
      <c r="H714" s="16" t="str">
        <f aca="false">IF(OR(A714="",G714=""),"",F714*G714)</f>
        <v/>
      </c>
    </row>
    <row r="715" customFormat="false" ht="15" hidden="false" customHeight="false" outlineLevel="0" collapsed="false">
      <c r="A715" s="11"/>
      <c r="B715" s="12" t="str">
        <f aca="false">IF(A715="","",IFERROR(INDEX(Productos!$D$2:$D$1001,MATCH(A715,Productos!$A$2:$A$1001,0))&amp;" — "&amp;INDEX(Productos!$E$2:$E$1001,MATCH(A715,Productos!$A$2:$A$1001,0)),"SKU no existe en Productos"))</f>
        <v/>
      </c>
      <c r="C715" s="11"/>
      <c r="D715" s="11"/>
      <c r="E715" s="11"/>
      <c r="F715" s="12" t="str">
        <f aca="false">IF(A715="","",SUM(C715:E715))</f>
        <v/>
      </c>
      <c r="G715" s="16" t="str">
        <f aca="false">IF(A715="","",IFERROR(INDEX(Productos!$K$2:$K$1001,MATCH(A715,Productos!$A$2:$A$1001,0)),""))</f>
        <v/>
      </c>
      <c r="H715" s="16" t="str">
        <f aca="false">IF(OR(A715="",G715=""),"",F715*G715)</f>
        <v/>
      </c>
    </row>
    <row r="716" customFormat="false" ht="15" hidden="false" customHeight="false" outlineLevel="0" collapsed="false">
      <c r="A716" s="11"/>
      <c r="B716" s="12" t="str">
        <f aca="false">IF(A716="","",IFERROR(INDEX(Productos!$D$2:$D$1001,MATCH(A716,Productos!$A$2:$A$1001,0))&amp;" — "&amp;INDEX(Productos!$E$2:$E$1001,MATCH(A716,Productos!$A$2:$A$1001,0)),"SKU no existe en Productos"))</f>
        <v/>
      </c>
      <c r="C716" s="11"/>
      <c r="D716" s="11"/>
      <c r="E716" s="11"/>
      <c r="F716" s="12" t="str">
        <f aca="false">IF(A716="","",SUM(C716:E716))</f>
        <v/>
      </c>
      <c r="G716" s="16" t="str">
        <f aca="false">IF(A716="","",IFERROR(INDEX(Productos!$K$2:$K$1001,MATCH(A716,Productos!$A$2:$A$1001,0)),""))</f>
        <v/>
      </c>
      <c r="H716" s="16" t="str">
        <f aca="false">IF(OR(A716="",G716=""),"",F716*G716)</f>
        <v/>
      </c>
    </row>
    <row r="717" customFormat="false" ht="15" hidden="false" customHeight="false" outlineLevel="0" collapsed="false">
      <c r="A717" s="11"/>
      <c r="B717" s="12" t="str">
        <f aca="false">IF(A717="","",IFERROR(INDEX(Productos!$D$2:$D$1001,MATCH(A717,Productos!$A$2:$A$1001,0))&amp;" — "&amp;INDEX(Productos!$E$2:$E$1001,MATCH(A717,Productos!$A$2:$A$1001,0)),"SKU no existe en Productos"))</f>
        <v/>
      </c>
      <c r="C717" s="11"/>
      <c r="D717" s="11"/>
      <c r="E717" s="11"/>
      <c r="F717" s="12" t="str">
        <f aca="false">IF(A717="","",SUM(C717:E717))</f>
        <v/>
      </c>
      <c r="G717" s="16" t="str">
        <f aca="false">IF(A717="","",IFERROR(INDEX(Productos!$K$2:$K$1001,MATCH(A717,Productos!$A$2:$A$1001,0)),""))</f>
        <v/>
      </c>
      <c r="H717" s="16" t="str">
        <f aca="false">IF(OR(A717="",G717=""),"",F717*G717)</f>
        <v/>
      </c>
    </row>
    <row r="718" customFormat="false" ht="15" hidden="false" customHeight="false" outlineLevel="0" collapsed="false">
      <c r="A718" s="11"/>
      <c r="B718" s="12" t="str">
        <f aca="false">IF(A718="","",IFERROR(INDEX(Productos!$D$2:$D$1001,MATCH(A718,Productos!$A$2:$A$1001,0))&amp;" — "&amp;INDEX(Productos!$E$2:$E$1001,MATCH(A718,Productos!$A$2:$A$1001,0)),"SKU no existe en Productos"))</f>
        <v/>
      </c>
      <c r="C718" s="11"/>
      <c r="D718" s="11"/>
      <c r="E718" s="11"/>
      <c r="F718" s="12" t="str">
        <f aca="false">IF(A718="","",SUM(C718:E718))</f>
        <v/>
      </c>
      <c r="G718" s="16" t="str">
        <f aca="false">IF(A718="","",IFERROR(INDEX(Productos!$K$2:$K$1001,MATCH(A718,Productos!$A$2:$A$1001,0)),""))</f>
        <v/>
      </c>
      <c r="H718" s="16" t="str">
        <f aca="false">IF(OR(A718="",G718=""),"",F718*G718)</f>
        <v/>
      </c>
    </row>
    <row r="719" customFormat="false" ht="15" hidden="false" customHeight="false" outlineLevel="0" collapsed="false">
      <c r="A719" s="11"/>
      <c r="B719" s="12" t="str">
        <f aca="false">IF(A719="","",IFERROR(INDEX(Productos!$D$2:$D$1001,MATCH(A719,Productos!$A$2:$A$1001,0))&amp;" — "&amp;INDEX(Productos!$E$2:$E$1001,MATCH(A719,Productos!$A$2:$A$1001,0)),"SKU no existe en Productos"))</f>
        <v/>
      </c>
      <c r="C719" s="11"/>
      <c r="D719" s="11"/>
      <c r="E719" s="11"/>
      <c r="F719" s="12" t="str">
        <f aca="false">IF(A719="","",SUM(C719:E719))</f>
        <v/>
      </c>
      <c r="G719" s="16" t="str">
        <f aca="false">IF(A719="","",IFERROR(INDEX(Productos!$K$2:$K$1001,MATCH(A719,Productos!$A$2:$A$1001,0)),""))</f>
        <v/>
      </c>
      <c r="H719" s="16" t="str">
        <f aca="false">IF(OR(A719="",G719=""),"",F719*G719)</f>
        <v/>
      </c>
    </row>
    <row r="720" customFormat="false" ht="15" hidden="false" customHeight="false" outlineLevel="0" collapsed="false">
      <c r="A720" s="11"/>
      <c r="B720" s="12" t="str">
        <f aca="false">IF(A720="","",IFERROR(INDEX(Productos!$D$2:$D$1001,MATCH(A720,Productos!$A$2:$A$1001,0))&amp;" — "&amp;INDEX(Productos!$E$2:$E$1001,MATCH(A720,Productos!$A$2:$A$1001,0)),"SKU no existe en Productos"))</f>
        <v/>
      </c>
      <c r="C720" s="11"/>
      <c r="D720" s="11"/>
      <c r="E720" s="11"/>
      <c r="F720" s="12" t="str">
        <f aca="false">IF(A720="","",SUM(C720:E720))</f>
        <v/>
      </c>
      <c r="G720" s="16" t="str">
        <f aca="false">IF(A720="","",IFERROR(INDEX(Productos!$K$2:$K$1001,MATCH(A720,Productos!$A$2:$A$1001,0)),""))</f>
        <v/>
      </c>
      <c r="H720" s="16" t="str">
        <f aca="false">IF(OR(A720="",G720=""),"",F720*G720)</f>
        <v/>
      </c>
    </row>
    <row r="721" customFormat="false" ht="15" hidden="false" customHeight="false" outlineLevel="0" collapsed="false">
      <c r="A721" s="11"/>
      <c r="B721" s="12" t="str">
        <f aca="false">IF(A721="","",IFERROR(INDEX(Productos!$D$2:$D$1001,MATCH(A721,Productos!$A$2:$A$1001,0))&amp;" — "&amp;INDEX(Productos!$E$2:$E$1001,MATCH(A721,Productos!$A$2:$A$1001,0)),"SKU no existe en Productos"))</f>
        <v/>
      </c>
      <c r="C721" s="11"/>
      <c r="D721" s="11"/>
      <c r="E721" s="11"/>
      <c r="F721" s="12" t="str">
        <f aca="false">IF(A721="","",SUM(C721:E721))</f>
        <v/>
      </c>
      <c r="G721" s="16" t="str">
        <f aca="false">IF(A721="","",IFERROR(INDEX(Productos!$K$2:$K$1001,MATCH(A721,Productos!$A$2:$A$1001,0)),""))</f>
        <v/>
      </c>
      <c r="H721" s="16" t="str">
        <f aca="false">IF(OR(A721="",G721=""),"",F721*G721)</f>
        <v/>
      </c>
    </row>
    <row r="722" customFormat="false" ht="15" hidden="false" customHeight="false" outlineLevel="0" collapsed="false">
      <c r="A722" s="11"/>
      <c r="B722" s="12" t="str">
        <f aca="false">IF(A722="","",IFERROR(INDEX(Productos!$D$2:$D$1001,MATCH(A722,Productos!$A$2:$A$1001,0))&amp;" — "&amp;INDEX(Productos!$E$2:$E$1001,MATCH(A722,Productos!$A$2:$A$1001,0)),"SKU no existe en Productos"))</f>
        <v/>
      </c>
      <c r="C722" s="11"/>
      <c r="D722" s="11"/>
      <c r="E722" s="11"/>
      <c r="F722" s="12" t="str">
        <f aca="false">IF(A722="","",SUM(C722:E722))</f>
        <v/>
      </c>
      <c r="G722" s="16" t="str">
        <f aca="false">IF(A722="","",IFERROR(INDEX(Productos!$K$2:$K$1001,MATCH(A722,Productos!$A$2:$A$1001,0)),""))</f>
        <v/>
      </c>
      <c r="H722" s="16" t="str">
        <f aca="false">IF(OR(A722="",G722=""),"",F722*G722)</f>
        <v/>
      </c>
    </row>
    <row r="723" customFormat="false" ht="15" hidden="false" customHeight="false" outlineLevel="0" collapsed="false">
      <c r="A723" s="11"/>
      <c r="B723" s="12" t="str">
        <f aca="false">IF(A723="","",IFERROR(INDEX(Productos!$D$2:$D$1001,MATCH(A723,Productos!$A$2:$A$1001,0))&amp;" — "&amp;INDEX(Productos!$E$2:$E$1001,MATCH(A723,Productos!$A$2:$A$1001,0)),"SKU no existe en Productos"))</f>
        <v/>
      </c>
      <c r="C723" s="11"/>
      <c r="D723" s="11"/>
      <c r="E723" s="11"/>
      <c r="F723" s="12" t="str">
        <f aca="false">IF(A723="","",SUM(C723:E723))</f>
        <v/>
      </c>
      <c r="G723" s="16" t="str">
        <f aca="false">IF(A723="","",IFERROR(INDEX(Productos!$K$2:$K$1001,MATCH(A723,Productos!$A$2:$A$1001,0)),""))</f>
        <v/>
      </c>
      <c r="H723" s="16" t="str">
        <f aca="false">IF(OR(A723="",G723=""),"",F723*G723)</f>
        <v/>
      </c>
    </row>
    <row r="724" customFormat="false" ht="15" hidden="false" customHeight="false" outlineLevel="0" collapsed="false">
      <c r="A724" s="11"/>
      <c r="B724" s="12" t="str">
        <f aca="false">IF(A724="","",IFERROR(INDEX(Productos!$D$2:$D$1001,MATCH(A724,Productos!$A$2:$A$1001,0))&amp;" — "&amp;INDEX(Productos!$E$2:$E$1001,MATCH(A724,Productos!$A$2:$A$1001,0)),"SKU no existe en Productos"))</f>
        <v/>
      </c>
      <c r="C724" s="11"/>
      <c r="D724" s="11"/>
      <c r="E724" s="11"/>
      <c r="F724" s="12" t="str">
        <f aca="false">IF(A724="","",SUM(C724:E724))</f>
        <v/>
      </c>
      <c r="G724" s="16" t="str">
        <f aca="false">IF(A724="","",IFERROR(INDEX(Productos!$K$2:$K$1001,MATCH(A724,Productos!$A$2:$A$1001,0)),""))</f>
        <v/>
      </c>
      <c r="H724" s="16" t="str">
        <f aca="false">IF(OR(A724="",G724=""),"",F724*G724)</f>
        <v/>
      </c>
    </row>
    <row r="725" customFormat="false" ht="15" hidden="false" customHeight="false" outlineLevel="0" collapsed="false">
      <c r="A725" s="11"/>
      <c r="B725" s="12" t="str">
        <f aca="false">IF(A725="","",IFERROR(INDEX(Productos!$D$2:$D$1001,MATCH(A725,Productos!$A$2:$A$1001,0))&amp;" — "&amp;INDEX(Productos!$E$2:$E$1001,MATCH(A725,Productos!$A$2:$A$1001,0)),"SKU no existe en Productos"))</f>
        <v/>
      </c>
      <c r="C725" s="11"/>
      <c r="D725" s="11"/>
      <c r="E725" s="11"/>
      <c r="F725" s="12" t="str">
        <f aca="false">IF(A725="","",SUM(C725:E725))</f>
        <v/>
      </c>
      <c r="G725" s="16" t="str">
        <f aca="false">IF(A725="","",IFERROR(INDEX(Productos!$K$2:$K$1001,MATCH(A725,Productos!$A$2:$A$1001,0)),""))</f>
        <v/>
      </c>
      <c r="H725" s="16" t="str">
        <f aca="false">IF(OR(A725="",G725=""),"",F725*G725)</f>
        <v/>
      </c>
    </row>
    <row r="726" customFormat="false" ht="15" hidden="false" customHeight="false" outlineLevel="0" collapsed="false">
      <c r="A726" s="11"/>
      <c r="B726" s="12" t="str">
        <f aca="false">IF(A726="","",IFERROR(INDEX(Productos!$D$2:$D$1001,MATCH(A726,Productos!$A$2:$A$1001,0))&amp;" — "&amp;INDEX(Productos!$E$2:$E$1001,MATCH(A726,Productos!$A$2:$A$1001,0)),"SKU no existe en Productos"))</f>
        <v/>
      </c>
      <c r="C726" s="11"/>
      <c r="D726" s="11"/>
      <c r="E726" s="11"/>
      <c r="F726" s="12" t="str">
        <f aca="false">IF(A726="","",SUM(C726:E726))</f>
        <v/>
      </c>
      <c r="G726" s="16" t="str">
        <f aca="false">IF(A726="","",IFERROR(INDEX(Productos!$K$2:$K$1001,MATCH(A726,Productos!$A$2:$A$1001,0)),""))</f>
        <v/>
      </c>
      <c r="H726" s="16" t="str">
        <f aca="false">IF(OR(A726="",G726=""),"",F726*G726)</f>
        <v/>
      </c>
    </row>
    <row r="727" customFormat="false" ht="15" hidden="false" customHeight="false" outlineLevel="0" collapsed="false">
      <c r="A727" s="11"/>
      <c r="B727" s="12" t="str">
        <f aca="false">IF(A727="","",IFERROR(INDEX(Productos!$D$2:$D$1001,MATCH(A727,Productos!$A$2:$A$1001,0))&amp;" — "&amp;INDEX(Productos!$E$2:$E$1001,MATCH(A727,Productos!$A$2:$A$1001,0)),"SKU no existe en Productos"))</f>
        <v/>
      </c>
      <c r="C727" s="11"/>
      <c r="D727" s="11"/>
      <c r="E727" s="11"/>
      <c r="F727" s="12" t="str">
        <f aca="false">IF(A727="","",SUM(C727:E727))</f>
        <v/>
      </c>
      <c r="G727" s="16" t="str">
        <f aca="false">IF(A727="","",IFERROR(INDEX(Productos!$K$2:$K$1001,MATCH(A727,Productos!$A$2:$A$1001,0)),""))</f>
        <v/>
      </c>
      <c r="H727" s="16" t="str">
        <f aca="false">IF(OR(A727="",G727=""),"",F727*G727)</f>
        <v/>
      </c>
    </row>
    <row r="728" customFormat="false" ht="15" hidden="false" customHeight="false" outlineLevel="0" collapsed="false">
      <c r="A728" s="11"/>
      <c r="B728" s="12" t="str">
        <f aca="false">IF(A728="","",IFERROR(INDEX(Productos!$D$2:$D$1001,MATCH(A728,Productos!$A$2:$A$1001,0))&amp;" — "&amp;INDEX(Productos!$E$2:$E$1001,MATCH(A728,Productos!$A$2:$A$1001,0)),"SKU no existe en Productos"))</f>
        <v/>
      </c>
      <c r="C728" s="11"/>
      <c r="D728" s="11"/>
      <c r="E728" s="11"/>
      <c r="F728" s="12" t="str">
        <f aca="false">IF(A728="","",SUM(C728:E728))</f>
        <v/>
      </c>
      <c r="G728" s="16" t="str">
        <f aca="false">IF(A728="","",IFERROR(INDEX(Productos!$K$2:$K$1001,MATCH(A728,Productos!$A$2:$A$1001,0)),""))</f>
        <v/>
      </c>
      <c r="H728" s="16" t="str">
        <f aca="false">IF(OR(A728="",G728=""),"",F728*G728)</f>
        <v/>
      </c>
    </row>
    <row r="729" customFormat="false" ht="15" hidden="false" customHeight="false" outlineLevel="0" collapsed="false">
      <c r="A729" s="11"/>
      <c r="B729" s="12" t="str">
        <f aca="false">IF(A729="","",IFERROR(INDEX(Productos!$D$2:$D$1001,MATCH(A729,Productos!$A$2:$A$1001,0))&amp;" — "&amp;INDEX(Productos!$E$2:$E$1001,MATCH(A729,Productos!$A$2:$A$1001,0)),"SKU no existe en Productos"))</f>
        <v/>
      </c>
      <c r="C729" s="11"/>
      <c r="D729" s="11"/>
      <c r="E729" s="11"/>
      <c r="F729" s="12" t="str">
        <f aca="false">IF(A729="","",SUM(C729:E729))</f>
        <v/>
      </c>
      <c r="G729" s="16" t="str">
        <f aca="false">IF(A729="","",IFERROR(INDEX(Productos!$K$2:$K$1001,MATCH(A729,Productos!$A$2:$A$1001,0)),""))</f>
        <v/>
      </c>
      <c r="H729" s="16" t="str">
        <f aca="false">IF(OR(A729="",G729=""),"",F729*G729)</f>
        <v/>
      </c>
    </row>
    <row r="730" customFormat="false" ht="15" hidden="false" customHeight="false" outlineLevel="0" collapsed="false">
      <c r="A730" s="11"/>
      <c r="B730" s="12" t="str">
        <f aca="false">IF(A730="","",IFERROR(INDEX(Productos!$D$2:$D$1001,MATCH(A730,Productos!$A$2:$A$1001,0))&amp;" — "&amp;INDEX(Productos!$E$2:$E$1001,MATCH(A730,Productos!$A$2:$A$1001,0)),"SKU no existe en Productos"))</f>
        <v/>
      </c>
      <c r="C730" s="11"/>
      <c r="D730" s="11"/>
      <c r="E730" s="11"/>
      <c r="F730" s="12" t="str">
        <f aca="false">IF(A730="","",SUM(C730:E730))</f>
        <v/>
      </c>
      <c r="G730" s="16" t="str">
        <f aca="false">IF(A730="","",IFERROR(INDEX(Productos!$K$2:$K$1001,MATCH(A730,Productos!$A$2:$A$1001,0)),""))</f>
        <v/>
      </c>
      <c r="H730" s="16" t="str">
        <f aca="false">IF(OR(A730="",G730=""),"",F730*G730)</f>
        <v/>
      </c>
    </row>
    <row r="731" customFormat="false" ht="15" hidden="false" customHeight="false" outlineLevel="0" collapsed="false">
      <c r="A731" s="11"/>
      <c r="B731" s="12" t="str">
        <f aca="false">IF(A731="","",IFERROR(INDEX(Productos!$D$2:$D$1001,MATCH(A731,Productos!$A$2:$A$1001,0))&amp;" — "&amp;INDEX(Productos!$E$2:$E$1001,MATCH(A731,Productos!$A$2:$A$1001,0)),"SKU no existe en Productos"))</f>
        <v/>
      </c>
      <c r="C731" s="11"/>
      <c r="D731" s="11"/>
      <c r="E731" s="11"/>
      <c r="F731" s="12" t="str">
        <f aca="false">IF(A731="","",SUM(C731:E731))</f>
        <v/>
      </c>
      <c r="G731" s="16" t="str">
        <f aca="false">IF(A731="","",IFERROR(INDEX(Productos!$K$2:$K$1001,MATCH(A731,Productos!$A$2:$A$1001,0)),""))</f>
        <v/>
      </c>
      <c r="H731" s="16" t="str">
        <f aca="false">IF(OR(A731="",G731=""),"",F731*G731)</f>
        <v/>
      </c>
    </row>
    <row r="732" customFormat="false" ht="15" hidden="false" customHeight="false" outlineLevel="0" collapsed="false">
      <c r="A732" s="11"/>
      <c r="B732" s="12" t="str">
        <f aca="false">IF(A732="","",IFERROR(INDEX(Productos!$D$2:$D$1001,MATCH(A732,Productos!$A$2:$A$1001,0))&amp;" — "&amp;INDEX(Productos!$E$2:$E$1001,MATCH(A732,Productos!$A$2:$A$1001,0)),"SKU no existe en Productos"))</f>
        <v/>
      </c>
      <c r="C732" s="11"/>
      <c r="D732" s="11"/>
      <c r="E732" s="11"/>
      <c r="F732" s="12" t="str">
        <f aca="false">IF(A732="","",SUM(C732:E732))</f>
        <v/>
      </c>
      <c r="G732" s="16" t="str">
        <f aca="false">IF(A732="","",IFERROR(INDEX(Productos!$K$2:$K$1001,MATCH(A732,Productos!$A$2:$A$1001,0)),""))</f>
        <v/>
      </c>
      <c r="H732" s="16" t="str">
        <f aca="false">IF(OR(A732="",G732=""),"",F732*G732)</f>
        <v/>
      </c>
    </row>
    <row r="733" customFormat="false" ht="15" hidden="false" customHeight="false" outlineLevel="0" collapsed="false">
      <c r="A733" s="11"/>
      <c r="B733" s="12" t="str">
        <f aca="false">IF(A733="","",IFERROR(INDEX(Productos!$D$2:$D$1001,MATCH(A733,Productos!$A$2:$A$1001,0))&amp;" — "&amp;INDEX(Productos!$E$2:$E$1001,MATCH(A733,Productos!$A$2:$A$1001,0)),"SKU no existe en Productos"))</f>
        <v/>
      </c>
      <c r="C733" s="11"/>
      <c r="D733" s="11"/>
      <c r="E733" s="11"/>
      <c r="F733" s="12" t="str">
        <f aca="false">IF(A733="","",SUM(C733:E733))</f>
        <v/>
      </c>
      <c r="G733" s="16" t="str">
        <f aca="false">IF(A733="","",IFERROR(INDEX(Productos!$K$2:$K$1001,MATCH(A733,Productos!$A$2:$A$1001,0)),""))</f>
        <v/>
      </c>
      <c r="H733" s="16" t="str">
        <f aca="false">IF(OR(A733="",G733=""),"",F733*G733)</f>
        <v/>
      </c>
    </row>
    <row r="734" customFormat="false" ht="15" hidden="false" customHeight="false" outlineLevel="0" collapsed="false">
      <c r="A734" s="11"/>
      <c r="B734" s="12" t="str">
        <f aca="false">IF(A734="","",IFERROR(INDEX(Productos!$D$2:$D$1001,MATCH(A734,Productos!$A$2:$A$1001,0))&amp;" — "&amp;INDEX(Productos!$E$2:$E$1001,MATCH(A734,Productos!$A$2:$A$1001,0)),"SKU no existe en Productos"))</f>
        <v/>
      </c>
      <c r="C734" s="11"/>
      <c r="D734" s="11"/>
      <c r="E734" s="11"/>
      <c r="F734" s="12" t="str">
        <f aca="false">IF(A734="","",SUM(C734:E734))</f>
        <v/>
      </c>
      <c r="G734" s="16" t="str">
        <f aca="false">IF(A734="","",IFERROR(INDEX(Productos!$K$2:$K$1001,MATCH(A734,Productos!$A$2:$A$1001,0)),""))</f>
        <v/>
      </c>
      <c r="H734" s="16" t="str">
        <f aca="false">IF(OR(A734="",G734=""),"",F734*G734)</f>
        <v/>
      </c>
    </row>
    <row r="735" customFormat="false" ht="15" hidden="false" customHeight="false" outlineLevel="0" collapsed="false">
      <c r="A735" s="11"/>
      <c r="B735" s="12" t="str">
        <f aca="false">IF(A735="","",IFERROR(INDEX(Productos!$D$2:$D$1001,MATCH(A735,Productos!$A$2:$A$1001,0))&amp;" — "&amp;INDEX(Productos!$E$2:$E$1001,MATCH(A735,Productos!$A$2:$A$1001,0)),"SKU no existe en Productos"))</f>
        <v/>
      </c>
      <c r="C735" s="11"/>
      <c r="D735" s="11"/>
      <c r="E735" s="11"/>
      <c r="F735" s="12" t="str">
        <f aca="false">IF(A735="","",SUM(C735:E735))</f>
        <v/>
      </c>
      <c r="G735" s="16" t="str">
        <f aca="false">IF(A735="","",IFERROR(INDEX(Productos!$K$2:$K$1001,MATCH(A735,Productos!$A$2:$A$1001,0)),""))</f>
        <v/>
      </c>
      <c r="H735" s="16" t="str">
        <f aca="false">IF(OR(A735="",G735=""),"",F735*G735)</f>
        <v/>
      </c>
    </row>
    <row r="736" customFormat="false" ht="15" hidden="false" customHeight="false" outlineLevel="0" collapsed="false">
      <c r="A736" s="11"/>
      <c r="B736" s="12" t="str">
        <f aca="false">IF(A736="","",IFERROR(INDEX(Productos!$D$2:$D$1001,MATCH(A736,Productos!$A$2:$A$1001,0))&amp;" — "&amp;INDEX(Productos!$E$2:$E$1001,MATCH(A736,Productos!$A$2:$A$1001,0)),"SKU no existe en Productos"))</f>
        <v/>
      </c>
      <c r="C736" s="11"/>
      <c r="D736" s="11"/>
      <c r="E736" s="11"/>
      <c r="F736" s="12" t="str">
        <f aca="false">IF(A736="","",SUM(C736:E736))</f>
        <v/>
      </c>
      <c r="G736" s="16" t="str">
        <f aca="false">IF(A736="","",IFERROR(INDEX(Productos!$K$2:$K$1001,MATCH(A736,Productos!$A$2:$A$1001,0)),""))</f>
        <v/>
      </c>
      <c r="H736" s="16" t="str">
        <f aca="false">IF(OR(A736="",G736=""),"",F736*G736)</f>
        <v/>
      </c>
    </row>
    <row r="737" customFormat="false" ht="15" hidden="false" customHeight="false" outlineLevel="0" collapsed="false">
      <c r="A737" s="11"/>
      <c r="B737" s="12" t="str">
        <f aca="false">IF(A737="","",IFERROR(INDEX(Productos!$D$2:$D$1001,MATCH(A737,Productos!$A$2:$A$1001,0))&amp;" — "&amp;INDEX(Productos!$E$2:$E$1001,MATCH(A737,Productos!$A$2:$A$1001,0)),"SKU no existe en Productos"))</f>
        <v/>
      </c>
      <c r="C737" s="11"/>
      <c r="D737" s="11"/>
      <c r="E737" s="11"/>
      <c r="F737" s="12" t="str">
        <f aca="false">IF(A737="","",SUM(C737:E737))</f>
        <v/>
      </c>
      <c r="G737" s="16" t="str">
        <f aca="false">IF(A737="","",IFERROR(INDEX(Productos!$K$2:$K$1001,MATCH(A737,Productos!$A$2:$A$1001,0)),""))</f>
        <v/>
      </c>
      <c r="H737" s="16" t="str">
        <f aca="false">IF(OR(A737="",G737=""),"",F737*G737)</f>
        <v/>
      </c>
    </row>
    <row r="738" customFormat="false" ht="15" hidden="false" customHeight="false" outlineLevel="0" collapsed="false">
      <c r="A738" s="11"/>
      <c r="B738" s="12" t="str">
        <f aca="false">IF(A738="","",IFERROR(INDEX(Productos!$D$2:$D$1001,MATCH(A738,Productos!$A$2:$A$1001,0))&amp;" — "&amp;INDEX(Productos!$E$2:$E$1001,MATCH(A738,Productos!$A$2:$A$1001,0)),"SKU no existe en Productos"))</f>
        <v/>
      </c>
      <c r="C738" s="11"/>
      <c r="D738" s="11"/>
      <c r="E738" s="11"/>
      <c r="F738" s="12" t="str">
        <f aca="false">IF(A738="","",SUM(C738:E738))</f>
        <v/>
      </c>
      <c r="G738" s="16" t="str">
        <f aca="false">IF(A738="","",IFERROR(INDEX(Productos!$K$2:$K$1001,MATCH(A738,Productos!$A$2:$A$1001,0)),""))</f>
        <v/>
      </c>
      <c r="H738" s="16" t="str">
        <f aca="false">IF(OR(A738="",G738=""),"",F738*G738)</f>
        <v/>
      </c>
    </row>
    <row r="739" customFormat="false" ht="15" hidden="false" customHeight="false" outlineLevel="0" collapsed="false">
      <c r="A739" s="11"/>
      <c r="B739" s="12" t="str">
        <f aca="false">IF(A739="","",IFERROR(INDEX(Productos!$D$2:$D$1001,MATCH(A739,Productos!$A$2:$A$1001,0))&amp;" — "&amp;INDEX(Productos!$E$2:$E$1001,MATCH(A739,Productos!$A$2:$A$1001,0)),"SKU no existe en Productos"))</f>
        <v/>
      </c>
      <c r="C739" s="11"/>
      <c r="D739" s="11"/>
      <c r="E739" s="11"/>
      <c r="F739" s="12" t="str">
        <f aca="false">IF(A739="","",SUM(C739:E739))</f>
        <v/>
      </c>
      <c r="G739" s="16" t="str">
        <f aca="false">IF(A739="","",IFERROR(INDEX(Productos!$K$2:$K$1001,MATCH(A739,Productos!$A$2:$A$1001,0)),""))</f>
        <v/>
      </c>
      <c r="H739" s="16" t="str">
        <f aca="false">IF(OR(A739="",G739=""),"",F739*G739)</f>
        <v/>
      </c>
    </row>
    <row r="740" customFormat="false" ht="15" hidden="false" customHeight="false" outlineLevel="0" collapsed="false">
      <c r="A740" s="11"/>
      <c r="B740" s="12" t="str">
        <f aca="false">IF(A740="","",IFERROR(INDEX(Productos!$D$2:$D$1001,MATCH(A740,Productos!$A$2:$A$1001,0))&amp;" — "&amp;INDEX(Productos!$E$2:$E$1001,MATCH(A740,Productos!$A$2:$A$1001,0)),"SKU no existe en Productos"))</f>
        <v/>
      </c>
      <c r="C740" s="11"/>
      <c r="D740" s="11"/>
      <c r="E740" s="11"/>
      <c r="F740" s="12" t="str">
        <f aca="false">IF(A740="","",SUM(C740:E740))</f>
        <v/>
      </c>
      <c r="G740" s="16" t="str">
        <f aca="false">IF(A740="","",IFERROR(INDEX(Productos!$K$2:$K$1001,MATCH(A740,Productos!$A$2:$A$1001,0)),""))</f>
        <v/>
      </c>
      <c r="H740" s="16" t="str">
        <f aca="false">IF(OR(A740="",G740=""),"",F740*G740)</f>
        <v/>
      </c>
    </row>
    <row r="741" customFormat="false" ht="15" hidden="false" customHeight="false" outlineLevel="0" collapsed="false">
      <c r="A741" s="11"/>
      <c r="B741" s="12" t="str">
        <f aca="false">IF(A741="","",IFERROR(INDEX(Productos!$D$2:$D$1001,MATCH(A741,Productos!$A$2:$A$1001,0))&amp;" — "&amp;INDEX(Productos!$E$2:$E$1001,MATCH(A741,Productos!$A$2:$A$1001,0)),"SKU no existe en Productos"))</f>
        <v/>
      </c>
      <c r="C741" s="11"/>
      <c r="D741" s="11"/>
      <c r="E741" s="11"/>
      <c r="F741" s="12" t="str">
        <f aca="false">IF(A741="","",SUM(C741:E741))</f>
        <v/>
      </c>
      <c r="G741" s="16" t="str">
        <f aca="false">IF(A741="","",IFERROR(INDEX(Productos!$K$2:$K$1001,MATCH(A741,Productos!$A$2:$A$1001,0)),""))</f>
        <v/>
      </c>
      <c r="H741" s="16" t="str">
        <f aca="false">IF(OR(A741="",G741=""),"",F741*G741)</f>
        <v/>
      </c>
    </row>
    <row r="742" customFormat="false" ht="15" hidden="false" customHeight="false" outlineLevel="0" collapsed="false">
      <c r="A742" s="11"/>
      <c r="B742" s="12" t="str">
        <f aca="false">IF(A742="","",IFERROR(INDEX(Productos!$D$2:$D$1001,MATCH(A742,Productos!$A$2:$A$1001,0))&amp;" — "&amp;INDEX(Productos!$E$2:$E$1001,MATCH(A742,Productos!$A$2:$A$1001,0)),"SKU no existe en Productos"))</f>
        <v/>
      </c>
      <c r="C742" s="11"/>
      <c r="D742" s="11"/>
      <c r="E742" s="11"/>
      <c r="F742" s="12" t="str">
        <f aca="false">IF(A742="","",SUM(C742:E742))</f>
        <v/>
      </c>
      <c r="G742" s="16" t="str">
        <f aca="false">IF(A742="","",IFERROR(INDEX(Productos!$K$2:$K$1001,MATCH(A742,Productos!$A$2:$A$1001,0)),""))</f>
        <v/>
      </c>
      <c r="H742" s="16" t="str">
        <f aca="false">IF(OR(A742="",G742=""),"",F742*G742)</f>
        <v/>
      </c>
    </row>
    <row r="743" customFormat="false" ht="15" hidden="false" customHeight="false" outlineLevel="0" collapsed="false">
      <c r="A743" s="11"/>
      <c r="B743" s="12" t="str">
        <f aca="false">IF(A743="","",IFERROR(INDEX(Productos!$D$2:$D$1001,MATCH(A743,Productos!$A$2:$A$1001,0))&amp;" — "&amp;INDEX(Productos!$E$2:$E$1001,MATCH(A743,Productos!$A$2:$A$1001,0)),"SKU no existe en Productos"))</f>
        <v/>
      </c>
      <c r="C743" s="11"/>
      <c r="D743" s="11"/>
      <c r="E743" s="11"/>
      <c r="F743" s="12" t="str">
        <f aca="false">IF(A743="","",SUM(C743:E743))</f>
        <v/>
      </c>
      <c r="G743" s="16" t="str">
        <f aca="false">IF(A743="","",IFERROR(INDEX(Productos!$K$2:$K$1001,MATCH(A743,Productos!$A$2:$A$1001,0)),""))</f>
        <v/>
      </c>
      <c r="H743" s="16" t="str">
        <f aca="false">IF(OR(A743="",G743=""),"",F743*G743)</f>
        <v/>
      </c>
    </row>
    <row r="744" customFormat="false" ht="15" hidden="false" customHeight="false" outlineLevel="0" collapsed="false">
      <c r="A744" s="11"/>
      <c r="B744" s="12" t="str">
        <f aca="false">IF(A744="","",IFERROR(INDEX(Productos!$D$2:$D$1001,MATCH(A744,Productos!$A$2:$A$1001,0))&amp;" — "&amp;INDEX(Productos!$E$2:$E$1001,MATCH(A744,Productos!$A$2:$A$1001,0)),"SKU no existe en Productos"))</f>
        <v/>
      </c>
      <c r="C744" s="11"/>
      <c r="D744" s="11"/>
      <c r="E744" s="11"/>
      <c r="F744" s="12" t="str">
        <f aca="false">IF(A744="","",SUM(C744:E744))</f>
        <v/>
      </c>
      <c r="G744" s="16" t="str">
        <f aca="false">IF(A744="","",IFERROR(INDEX(Productos!$K$2:$K$1001,MATCH(A744,Productos!$A$2:$A$1001,0)),""))</f>
        <v/>
      </c>
      <c r="H744" s="16" t="str">
        <f aca="false">IF(OR(A744="",G744=""),"",F744*G744)</f>
        <v/>
      </c>
    </row>
    <row r="745" customFormat="false" ht="15" hidden="false" customHeight="false" outlineLevel="0" collapsed="false">
      <c r="A745" s="11"/>
      <c r="B745" s="12" t="str">
        <f aca="false">IF(A745="","",IFERROR(INDEX(Productos!$D$2:$D$1001,MATCH(A745,Productos!$A$2:$A$1001,0))&amp;" — "&amp;INDEX(Productos!$E$2:$E$1001,MATCH(A745,Productos!$A$2:$A$1001,0)),"SKU no existe en Productos"))</f>
        <v/>
      </c>
      <c r="C745" s="11"/>
      <c r="D745" s="11"/>
      <c r="E745" s="11"/>
      <c r="F745" s="12" t="str">
        <f aca="false">IF(A745="","",SUM(C745:E745))</f>
        <v/>
      </c>
      <c r="G745" s="16" t="str">
        <f aca="false">IF(A745="","",IFERROR(INDEX(Productos!$K$2:$K$1001,MATCH(A745,Productos!$A$2:$A$1001,0)),""))</f>
        <v/>
      </c>
      <c r="H745" s="16" t="str">
        <f aca="false">IF(OR(A745="",G745=""),"",F745*G745)</f>
        <v/>
      </c>
    </row>
    <row r="746" customFormat="false" ht="15" hidden="false" customHeight="false" outlineLevel="0" collapsed="false">
      <c r="A746" s="11"/>
      <c r="B746" s="12" t="str">
        <f aca="false">IF(A746="","",IFERROR(INDEX(Productos!$D$2:$D$1001,MATCH(A746,Productos!$A$2:$A$1001,0))&amp;" — "&amp;INDEX(Productos!$E$2:$E$1001,MATCH(A746,Productos!$A$2:$A$1001,0)),"SKU no existe en Productos"))</f>
        <v/>
      </c>
      <c r="C746" s="11"/>
      <c r="D746" s="11"/>
      <c r="E746" s="11"/>
      <c r="F746" s="12" t="str">
        <f aca="false">IF(A746="","",SUM(C746:E746))</f>
        <v/>
      </c>
      <c r="G746" s="16" t="str">
        <f aca="false">IF(A746="","",IFERROR(INDEX(Productos!$K$2:$K$1001,MATCH(A746,Productos!$A$2:$A$1001,0)),""))</f>
        <v/>
      </c>
      <c r="H746" s="16" t="str">
        <f aca="false">IF(OR(A746="",G746=""),"",F746*G746)</f>
        <v/>
      </c>
    </row>
    <row r="747" customFormat="false" ht="15" hidden="false" customHeight="false" outlineLevel="0" collapsed="false">
      <c r="A747" s="11"/>
      <c r="B747" s="12" t="str">
        <f aca="false">IF(A747="","",IFERROR(INDEX(Productos!$D$2:$D$1001,MATCH(A747,Productos!$A$2:$A$1001,0))&amp;" — "&amp;INDEX(Productos!$E$2:$E$1001,MATCH(A747,Productos!$A$2:$A$1001,0)),"SKU no existe en Productos"))</f>
        <v/>
      </c>
      <c r="C747" s="11"/>
      <c r="D747" s="11"/>
      <c r="E747" s="11"/>
      <c r="F747" s="12" t="str">
        <f aca="false">IF(A747="","",SUM(C747:E747))</f>
        <v/>
      </c>
      <c r="G747" s="16" t="str">
        <f aca="false">IF(A747="","",IFERROR(INDEX(Productos!$K$2:$K$1001,MATCH(A747,Productos!$A$2:$A$1001,0)),""))</f>
        <v/>
      </c>
      <c r="H747" s="16" t="str">
        <f aca="false">IF(OR(A747="",G747=""),"",F747*G747)</f>
        <v/>
      </c>
    </row>
    <row r="748" customFormat="false" ht="15" hidden="false" customHeight="false" outlineLevel="0" collapsed="false">
      <c r="A748" s="11"/>
      <c r="B748" s="12" t="str">
        <f aca="false">IF(A748="","",IFERROR(INDEX(Productos!$D$2:$D$1001,MATCH(A748,Productos!$A$2:$A$1001,0))&amp;" — "&amp;INDEX(Productos!$E$2:$E$1001,MATCH(A748,Productos!$A$2:$A$1001,0)),"SKU no existe en Productos"))</f>
        <v/>
      </c>
      <c r="C748" s="11"/>
      <c r="D748" s="11"/>
      <c r="E748" s="11"/>
      <c r="F748" s="12" t="str">
        <f aca="false">IF(A748="","",SUM(C748:E748))</f>
        <v/>
      </c>
      <c r="G748" s="16" t="str">
        <f aca="false">IF(A748="","",IFERROR(INDEX(Productos!$K$2:$K$1001,MATCH(A748,Productos!$A$2:$A$1001,0)),""))</f>
        <v/>
      </c>
      <c r="H748" s="16" t="str">
        <f aca="false">IF(OR(A748="",G748=""),"",F748*G748)</f>
        <v/>
      </c>
    </row>
    <row r="749" customFormat="false" ht="15" hidden="false" customHeight="false" outlineLevel="0" collapsed="false">
      <c r="A749" s="11"/>
      <c r="B749" s="12" t="str">
        <f aca="false">IF(A749="","",IFERROR(INDEX(Productos!$D$2:$D$1001,MATCH(A749,Productos!$A$2:$A$1001,0))&amp;" — "&amp;INDEX(Productos!$E$2:$E$1001,MATCH(A749,Productos!$A$2:$A$1001,0)),"SKU no existe en Productos"))</f>
        <v/>
      </c>
      <c r="C749" s="11"/>
      <c r="D749" s="11"/>
      <c r="E749" s="11"/>
      <c r="F749" s="12" t="str">
        <f aca="false">IF(A749="","",SUM(C749:E749))</f>
        <v/>
      </c>
      <c r="G749" s="16" t="str">
        <f aca="false">IF(A749="","",IFERROR(INDEX(Productos!$K$2:$K$1001,MATCH(A749,Productos!$A$2:$A$1001,0)),""))</f>
        <v/>
      </c>
      <c r="H749" s="16" t="str">
        <f aca="false">IF(OR(A749="",G749=""),"",F749*G749)</f>
        <v/>
      </c>
    </row>
    <row r="750" customFormat="false" ht="15" hidden="false" customHeight="false" outlineLevel="0" collapsed="false">
      <c r="A750" s="11"/>
      <c r="B750" s="12" t="str">
        <f aca="false">IF(A750="","",IFERROR(INDEX(Productos!$D$2:$D$1001,MATCH(A750,Productos!$A$2:$A$1001,0))&amp;" — "&amp;INDEX(Productos!$E$2:$E$1001,MATCH(A750,Productos!$A$2:$A$1001,0)),"SKU no existe en Productos"))</f>
        <v/>
      </c>
      <c r="C750" s="11"/>
      <c r="D750" s="11"/>
      <c r="E750" s="11"/>
      <c r="F750" s="12" t="str">
        <f aca="false">IF(A750="","",SUM(C750:E750))</f>
        <v/>
      </c>
      <c r="G750" s="16" t="str">
        <f aca="false">IF(A750="","",IFERROR(INDEX(Productos!$K$2:$K$1001,MATCH(A750,Productos!$A$2:$A$1001,0)),""))</f>
        <v/>
      </c>
      <c r="H750" s="16" t="str">
        <f aca="false">IF(OR(A750="",G750=""),"",F750*G750)</f>
        <v/>
      </c>
    </row>
    <row r="751" customFormat="false" ht="15" hidden="false" customHeight="false" outlineLevel="0" collapsed="false">
      <c r="A751" s="11"/>
      <c r="B751" s="12" t="str">
        <f aca="false">IF(A751="","",IFERROR(INDEX(Productos!$D$2:$D$1001,MATCH(A751,Productos!$A$2:$A$1001,0))&amp;" — "&amp;INDEX(Productos!$E$2:$E$1001,MATCH(A751,Productos!$A$2:$A$1001,0)),"SKU no existe en Productos"))</f>
        <v/>
      </c>
      <c r="C751" s="11"/>
      <c r="D751" s="11"/>
      <c r="E751" s="11"/>
      <c r="F751" s="12" t="str">
        <f aca="false">IF(A751="","",SUM(C751:E751))</f>
        <v/>
      </c>
      <c r="G751" s="16" t="str">
        <f aca="false">IF(A751="","",IFERROR(INDEX(Productos!$K$2:$K$1001,MATCH(A751,Productos!$A$2:$A$1001,0)),""))</f>
        <v/>
      </c>
      <c r="H751" s="16" t="str">
        <f aca="false">IF(OR(A751="",G751=""),"",F751*G751)</f>
        <v/>
      </c>
    </row>
    <row r="752" customFormat="false" ht="15" hidden="false" customHeight="false" outlineLevel="0" collapsed="false">
      <c r="A752" s="11"/>
      <c r="B752" s="12" t="str">
        <f aca="false">IF(A752="","",IFERROR(INDEX(Productos!$D$2:$D$1001,MATCH(A752,Productos!$A$2:$A$1001,0))&amp;" — "&amp;INDEX(Productos!$E$2:$E$1001,MATCH(A752,Productos!$A$2:$A$1001,0)),"SKU no existe en Productos"))</f>
        <v/>
      </c>
      <c r="C752" s="11"/>
      <c r="D752" s="11"/>
      <c r="E752" s="11"/>
      <c r="F752" s="12" t="str">
        <f aca="false">IF(A752="","",SUM(C752:E752))</f>
        <v/>
      </c>
      <c r="G752" s="16" t="str">
        <f aca="false">IF(A752="","",IFERROR(INDEX(Productos!$K$2:$K$1001,MATCH(A752,Productos!$A$2:$A$1001,0)),""))</f>
        <v/>
      </c>
      <c r="H752" s="16" t="str">
        <f aca="false">IF(OR(A752="",G752=""),"",F752*G752)</f>
        <v/>
      </c>
    </row>
    <row r="753" customFormat="false" ht="15" hidden="false" customHeight="false" outlineLevel="0" collapsed="false">
      <c r="A753" s="11"/>
      <c r="B753" s="12" t="str">
        <f aca="false">IF(A753="","",IFERROR(INDEX(Productos!$D$2:$D$1001,MATCH(A753,Productos!$A$2:$A$1001,0))&amp;" — "&amp;INDEX(Productos!$E$2:$E$1001,MATCH(A753,Productos!$A$2:$A$1001,0)),"SKU no existe en Productos"))</f>
        <v/>
      </c>
      <c r="C753" s="11"/>
      <c r="D753" s="11"/>
      <c r="E753" s="11"/>
      <c r="F753" s="12" t="str">
        <f aca="false">IF(A753="","",SUM(C753:E753))</f>
        <v/>
      </c>
      <c r="G753" s="16" t="str">
        <f aca="false">IF(A753="","",IFERROR(INDEX(Productos!$K$2:$K$1001,MATCH(A753,Productos!$A$2:$A$1001,0)),""))</f>
        <v/>
      </c>
      <c r="H753" s="16" t="str">
        <f aca="false">IF(OR(A753="",G753=""),"",F753*G753)</f>
        <v/>
      </c>
    </row>
    <row r="754" customFormat="false" ht="15" hidden="false" customHeight="false" outlineLevel="0" collapsed="false">
      <c r="A754" s="11"/>
      <c r="B754" s="12" t="str">
        <f aca="false">IF(A754="","",IFERROR(INDEX(Productos!$D$2:$D$1001,MATCH(A754,Productos!$A$2:$A$1001,0))&amp;" — "&amp;INDEX(Productos!$E$2:$E$1001,MATCH(A754,Productos!$A$2:$A$1001,0)),"SKU no existe en Productos"))</f>
        <v/>
      </c>
      <c r="C754" s="11"/>
      <c r="D754" s="11"/>
      <c r="E754" s="11"/>
      <c r="F754" s="12" t="str">
        <f aca="false">IF(A754="","",SUM(C754:E754))</f>
        <v/>
      </c>
      <c r="G754" s="16" t="str">
        <f aca="false">IF(A754="","",IFERROR(INDEX(Productos!$K$2:$K$1001,MATCH(A754,Productos!$A$2:$A$1001,0)),""))</f>
        <v/>
      </c>
      <c r="H754" s="16" t="str">
        <f aca="false">IF(OR(A754="",G754=""),"",F754*G754)</f>
        <v/>
      </c>
    </row>
    <row r="755" customFormat="false" ht="15" hidden="false" customHeight="false" outlineLevel="0" collapsed="false">
      <c r="A755" s="11"/>
      <c r="B755" s="12" t="str">
        <f aca="false">IF(A755="","",IFERROR(INDEX(Productos!$D$2:$D$1001,MATCH(A755,Productos!$A$2:$A$1001,0))&amp;" — "&amp;INDEX(Productos!$E$2:$E$1001,MATCH(A755,Productos!$A$2:$A$1001,0)),"SKU no existe en Productos"))</f>
        <v/>
      </c>
      <c r="C755" s="11"/>
      <c r="D755" s="11"/>
      <c r="E755" s="11"/>
      <c r="F755" s="12" t="str">
        <f aca="false">IF(A755="","",SUM(C755:E755))</f>
        <v/>
      </c>
      <c r="G755" s="16" t="str">
        <f aca="false">IF(A755="","",IFERROR(INDEX(Productos!$K$2:$K$1001,MATCH(A755,Productos!$A$2:$A$1001,0)),""))</f>
        <v/>
      </c>
      <c r="H755" s="16" t="str">
        <f aca="false">IF(OR(A755="",G755=""),"",F755*G755)</f>
        <v/>
      </c>
    </row>
    <row r="756" customFormat="false" ht="15" hidden="false" customHeight="false" outlineLevel="0" collapsed="false">
      <c r="A756" s="11"/>
      <c r="B756" s="12" t="str">
        <f aca="false">IF(A756="","",IFERROR(INDEX(Productos!$D$2:$D$1001,MATCH(A756,Productos!$A$2:$A$1001,0))&amp;" — "&amp;INDEX(Productos!$E$2:$E$1001,MATCH(A756,Productos!$A$2:$A$1001,0)),"SKU no existe en Productos"))</f>
        <v/>
      </c>
      <c r="C756" s="11"/>
      <c r="D756" s="11"/>
      <c r="E756" s="11"/>
      <c r="F756" s="12" t="str">
        <f aca="false">IF(A756="","",SUM(C756:E756))</f>
        <v/>
      </c>
      <c r="G756" s="16" t="str">
        <f aca="false">IF(A756="","",IFERROR(INDEX(Productos!$K$2:$K$1001,MATCH(A756,Productos!$A$2:$A$1001,0)),""))</f>
        <v/>
      </c>
      <c r="H756" s="16" t="str">
        <f aca="false">IF(OR(A756="",G756=""),"",F756*G756)</f>
        <v/>
      </c>
    </row>
    <row r="757" customFormat="false" ht="15" hidden="false" customHeight="false" outlineLevel="0" collapsed="false">
      <c r="A757" s="11"/>
      <c r="B757" s="12" t="str">
        <f aca="false">IF(A757="","",IFERROR(INDEX(Productos!$D$2:$D$1001,MATCH(A757,Productos!$A$2:$A$1001,0))&amp;" — "&amp;INDEX(Productos!$E$2:$E$1001,MATCH(A757,Productos!$A$2:$A$1001,0)),"SKU no existe en Productos"))</f>
        <v/>
      </c>
      <c r="C757" s="11"/>
      <c r="D757" s="11"/>
      <c r="E757" s="11"/>
      <c r="F757" s="12" t="str">
        <f aca="false">IF(A757="","",SUM(C757:E757))</f>
        <v/>
      </c>
      <c r="G757" s="16" t="str">
        <f aca="false">IF(A757="","",IFERROR(INDEX(Productos!$K$2:$K$1001,MATCH(A757,Productos!$A$2:$A$1001,0)),""))</f>
        <v/>
      </c>
      <c r="H757" s="16" t="str">
        <f aca="false">IF(OR(A757="",G757=""),"",F757*G757)</f>
        <v/>
      </c>
    </row>
    <row r="758" customFormat="false" ht="15" hidden="false" customHeight="false" outlineLevel="0" collapsed="false">
      <c r="A758" s="11"/>
      <c r="B758" s="12" t="str">
        <f aca="false">IF(A758="","",IFERROR(INDEX(Productos!$D$2:$D$1001,MATCH(A758,Productos!$A$2:$A$1001,0))&amp;" — "&amp;INDEX(Productos!$E$2:$E$1001,MATCH(A758,Productos!$A$2:$A$1001,0)),"SKU no existe en Productos"))</f>
        <v/>
      </c>
      <c r="C758" s="11"/>
      <c r="D758" s="11"/>
      <c r="E758" s="11"/>
      <c r="F758" s="12" t="str">
        <f aca="false">IF(A758="","",SUM(C758:E758))</f>
        <v/>
      </c>
      <c r="G758" s="16" t="str">
        <f aca="false">IF(A758="","",IFERROR(INDEX(Productos!$K$2:$K$1001,MATCH(A758,Productos!$A$2:$A$1001,0)),""))</f>
        <v/>
      </c>
      <c r="H758" s="16" t="str">
        <f aca="false">IF(OR(A758="",G758=""),"",F758*G758)</f>
        <v/>
      </c>
    </row>
    <row r="759" customFormat="false" ht="15" hidden="false" customHeight="false" outlineLevel="0" collapsed="false">
      <c r="A759" s="11"/>
      <c r="B759" s="12" t="str">
        <f aca="false">IF(A759="","",IFERROR(INDEX(Productos!$D$2:$D$1001,MATCH(A759,Productos!$A$2:$A$1001,0))&amp;" — "&amp;INDEX(Productos!$E$2:$E$1001,MATCH(A759,Productos!$A$2:$A$1001,0)),"SKU no existe en Productos"))</f>
        <v/>
      </c>
      <c r="C759" s="11"/>
      <c r="D759" s="11"/>
      <c r="E759" s="11"/>
      <c r="F759" s="12" t="str">
        <f aca="false">IF(A759="","",SUM(C759:E759))</f>
        <v/>
      </c>
      <c r="G759" s="16" t="str">
        <f aca="false">IF(A759="","",IFERROR(INDEX(Productos!$K$2:$K$1001,MATCH(A759,Productos!$A$2:$A$1001,0)),""))</f>
        <v/>
      </c>
      <c r="H759" s="16" t="str">
        <f aca="false">IF(OR(A759="",G759=""),"",F759*G759)</f>
        <v/>
      </c>
    </row>
    <row r="760" customFormat="false" ht="15" hidden="false" customHeight="false" outlineLevel="0" collapsed="false">
      <c r="A760" s="11"/>
      <c r="B760" s="12" t="str">
        <f aca="false">IF(A760="","",IFERROR(INDEX(Productos!$D$2:$D$1001,MATCH(A760,Productos!$A$2:$A$1001,0))&amp;" — "&amp;INDEX(Productos!$E$2:$E$1001,MATCH(A760,Productos!$A$2:$A$1001,0)),"SKU no existe en Productos"))</f>
        <v/>
      </c>
      <c r="C760" s="11"/>
      <c r="D760" s="11"/>
      <c r="E760" s="11"/>
      <c r="F760" s="12" t="str">
        <f aca="false">IF(A760="","",SUM(C760:E760))</f>
        <v/>
      </c>
      <c r="G760" s="16" t="str">
        <f aca="false">IF(A760="","",IFERROR(INDEX(Productos!$K$2:$K$1001,MATCH(A760,Productos!$A$2:$A$1001,0)),""))</f>
        <v/>
      </c>
      <c r="H760" s="16" t="str">
        <f aca="false">IF(OR(A760="",G760=""),"",F760*G760)</f>
        <v/>
      </c>
    </row>
    <row r="761" customFormat="false" ht="15" hidden="false" customHeight="false" outlineLevel="0" collapsed="false">
      <c r="A761" s="11"/>
      <c r="B761" s="12" t="str">
        <f aca="false">IF(A761="","",IFERROR(INDEX(Productos!$D$2:$D$1001,MATCH(A761,Productos!$A$2:$A$1001,0))&amp;" — "&amp;INDEX(Productos!$E$2:$E$1001,MATCH(A761,Productos!$A$2:$A$1001,0)),"SKU no existe en Productos"))</f>
        <v/>
      </c>
      <c r="C761" s="11"/>
      <c r="D761" s="11"/>
      <c r="E761" s="11"/>
      <c r="F761" s="12" t="str">
        <f aca="false">IF(A761="","",SUM(C761:E761))</f>
        <v/>
      </c>
      <c r="G761" s="16" t="str">
        <f aca="false">IF(A761="","",IFERROR(INDEX(Productos!$K$2:$K$1001,MATCH(A761,Productos!$A$2:$A$1001,0)),""))</f>
        <v/>
      </c>
      <c r="H761" s="16" t="str">
        <f aca="false">IF(OR(A761="",G761=""),"",F761*G761)</f>
        <v/>
      </c>
    </row>
    <row r="762" customFormat="false" ht="15" hidden="false" customHeight="false" outlineLevel="0" collapsed="false">
      <c r="A762" s="11"/>
      <c r="B762" s="12" t="str">
        <f aca="false">IF(A762="","",IFERROR(INDEX(Productos!$D$2:$D$1001,MATCH(A762,Productos!$A$2:$A$1001,0))&amp;" — "&amp;INDEX(Productos!$E$2:$E$1001,MATCH(A762,Productos!$A$2:$A$1001,0)),"SKU no existe en Productos"))</f>
        <v/>
      </c>
      <c r="C762" s="11"/>
      <c r="D762" s="11"/>
      <c r="E762" s="11"/>
      <c r="F762" s="12" t="str">
        <f aca="false">IF(A762="","",SUM(C762:E762))</f>
        <v/>
      </c>
      <c r="G762" s="16" t="str">
        <f aca="false">IF(A762="","",IFERROR(INDEX(Productos!$K$2:$K$1001,MATCH(A762,Productos!$A$2:$A$1001,0)),""))</f>
        <v/>
      </c>
      <c r="H762" s="16" t="str">
        <f aca="false">IF(OR(A762="",G762=""),"",F762*G762)</f>
        <v/>
      </c>
    </row>
    <row r="763" customFormat="false" ht="15" hidden="false" customHeight="false" outlineLevel="0" collapsed="false">
      <c r="A763" s="11"/>
      <c r="B763" s="12" t="str">
        <f aca="false">IF(A763="","",IFERROR(INDEX(Productos!$D$2:$D$1001,MATCH(A763,Productos!$A$2:$A$1001,0))&amp;" — "&amp;INDEX(Productos!$E$2:$E$1001,MATCH(A763,Productos!$A$2:$A$1001,0)),"SKU no existe en Productos"))</f>
        <v/>
      </c>
      <c r="C763" s="11"/>
      <c r="D763" s="11"/>
      <c r="E763" s="11"/>
      <c r="F763" s="12" t="str">
        <f aca="false">IF(A763="","",SUM(C763:E763))</f>
        <v/>
      </c>
      <c r="G763" s="16" t="str">
        <f aca="false">IF(A763="","",IFERROR(INDEX(Productos!$K$2:$K$1001,MATCH(A763,Productos!$A$2:$A$1001,0)),""))</f>
        <v/>
      </c>
      <c r="H763" s="16" t="str">
        <f aca="false">IF(OR(A763="",G763=""),"",F763*G763)</f>
        <v/>
      </c>
    </row>
    <row r="764" customFormat="false" ht="15" hidden="false" customHeight="false" outlineLevel="0" collapsed="false">
      <c r="A764" s="11"/>
      <c r="B764" s="12" t="str">
        <f aca="false">IF(A764="","",IFERROR(INDEX(Productos!$D$2:$D$1001,MATCH(A764,Productos!$A$2:$A$1001,0))&amp;" — "&amp;INDEX(Productos!$E$2:$E$1001,MATCH(A764,Productos!$A$2:$A$1001,0)),"SKU no existe en Productos"))</f>
        <v/>
      </c>
      <c r="C764" s="11"/>
      <c r="D764" s="11"/>
      <c r="E764" s="11"/>
      <c r="F764" s="12" t="str">
        <f aca="false">IF(A764="","",SUM(C764:E764))</f>
        <v/>
      </c>
      <c r="G764" s="16" t="str">
        <f aca="false">IF(A764="","",IFERROR(INDEX(Productos!$K$2:$K$1001,MATCH(A764,Productos!$A$2:$A$1001,0)),""))</f>
        <v/>
      </c>
      <c r="H764" s="16" t="str">
        <f aca="false">IF(OR(A764="",G764=""),"",F764*G764)</f>
        <v/>
      </c>
    </row>
    <row r="765" customFormat="false" ht="15" hidden="false" customHeight="false" outlineLevel="0" collapsed="false">
      <c r="A765" s="11"/>
      <c r="B765" s="12" t="str">
        <f aca="false">IF(A765="","",IFERROR(INDEX(Productos!$D$2:$D$1001,MATCH(A765,Productos!$A$2:$A$1001,0))&amp;" — "&amp;INDEX(Productos!$E$2:$E$1001,MATCH(A765,Productos!$A$2:$A$1001,0)),"SKU no existe en Productos"))</f>
        <v/>
      </c>
      <c r="C765" s="11"/>
      <c r="D765" s="11"/>
      <c r="E765" s="11"/>
      <c r="F765" s="12" t="str">
        <f aca="false">IF(A765="","",SUM(C765:E765))</f>
        <v/>
      </c>
      <c r="G765" s="16" t="str">
        <f aca="false">IF(A765="","",IFERROR(INDEX(Productos!$K$2:$K$1001,MATCH(A765,Productos!$A$2:$A$1001,0)),""))</f>
        <v/>
      </c>
      <c r="H765" s="16" t="str">
        <f aca="false">IF(OR(A765="",G765=""),"",F765*G765)</f>
        <v/>
      </c>
    </row>
    <row r="766" customFormat="false" ht="15" hidden="false" customHeight="false" outlineLevel="0" collapsed="false">
      <c r="A766" s="11"/>
      <c r="B766" s="12" t="str">
        <f aca="false">IF(A766="","",IFERROR(INDEX(Productos!$D$2:$D$1001,MATCH(A766,Productos!$A$2:$A$1001,0))&amp;" — "&amp;INDEX(Productos!$E$2:$E$1001,MATCH(A766,Productos!$A$2:$A$1001,0)),"SKU no existe en Productos"))</f>
        <v/>
      </c>
      <c r="C766" s="11"/>
      <c r="D766" s="11"/>
      <c r="E766" s="11"/>
      <c r="F766" s="12" t="str">
        <f aca="false">IF(A766="","",SUM(C766:E766))</f>
        <v/>
      </c>
      <c r="G766" s="16" t="str">
        <f aca="false">IF(A766="","",IFERROR(INDEX(Productos!$K$2:$K$1001,MATCH(A766,Productos!$A$2:$A$1001,0)),""))</f>
        <v/>
      </c>
      <c r="H766" s="16" t="str">
        <f aca="false">IF(OR(A766="",G766=""),"",F766*G766)</f>
        <v/>
      </c>
    </row>
    <row r="767" customFormat="false" ht="15" hidden="false" customHeight="false" outlineLevel="0" collapsed="false">
      <c r="A767" s="11"/>
      <c r="B767" s="12" t="str">
        <f aca="false">IF(A767="","",IFERROR(INDEX(Productos!$D$2:$D$1001,MATCH(A767,Productos!$A$2:$A$1001,0))&amp;" — "&amp;INDEX(Productos!$E$2:$E$1001,MATCH(A767,Productos!$A$2:$A$1001,0)),"SKU no existe en Productos"))</f>
        <v/>
      </c>
      <c r="C767" s="11"/>
      <c r="D767" s="11"/>
      <c r="E767" s="11"/>
      <c r="F767" s="12" t="str">
        <f aca="false">IF(A767="","",SUM(C767:E767))</f>
        <v/>
      </c>
      <c r="G767" s="16" t="str">
        <f aca="false">IF(A767="","",IFERROR(INDEX(Productos!$K$2:$K$1001,MATCH(A767,Productos!$A$2:$A$1001,0)),""))</f>
        <v/>
      </c>
      <c r="H767" s="16" t="str">
        <f aca="false">IF(OR(A767="",G767=""),"",F767*G767)</f>
        <v/>
      </c>
    </row>
    <row r="768" customFormat="false" ht="15" hidden="false" customHeight="false" outlineLevel="0" collapsed="false">
      <c r="A768" s="11"/>
      <c r="B768" s="12" t="str">
        <f aca="false">IF(A768="","",IFERROR(INDEX(Productos!$D$2:$D$1001,MATCH(A768,Productos!$A$2:$A$1001,0))&amp;" — "&amp;INDEX(Productos!$E$2:$E$1001,MATCH(A768,Productos!$A$2:$A$1001,0)),"SKU no existe en Productos"))</f>
        <v/>
      </c>
      <c r="C768" s="11"/>
      <c r="D768" s="11"/>
      <c r="E768" s="11"/>
      <c r="F768" s="12" t="str">
        <f aca="false">IF(A768="","",SUM(C768:E768))</f>
        <v/>
      </c>
      <c r="G768" s="16" t="str">
        <f aca="false">IF(A768="","",IFERROR(INDEX(Productos!$K$2:$K$1001,MATCH(A768,Productos!$A$2:$A$1001,0)),""))</f>
        <v/>
      </c>
      <c r="H768" s="16" t="str">
        <f aca="false">IF(OR(A768="",G768=""),"",F768*G768)</f>
        <v/>
      </c>
    </row>
    <row r="769" customFormat="false" ht="15" hidden="false" customHeight="false" outlineLevel="0" collapsed="false">
      <c r="A769" s="11"/>
      <c r="B769" s="12" t="str">
        <f aca="false">IF(A769="","",IFERROR(INDEX(Productos!$D$2:$D$1001,MATCH(A769,Productos!$A$2:$A$1001,0))&amp;" — "&amp;INDEX(Productos!$E$2:$E$1001,MATCH(A769,Productos!$A$2:$A$1001,0)),"SKU no existe en Productos"))</f>
        <v/>
      </c>
      <c r="C769" s="11"/>
      <c r="D769" s="11"/>
      <c r="E769" s="11"/>
      <c r="F769" s="12" t="str">
        <f aca="false">IF(A769="","",SUM(C769:E769))</f>
        <v/>
      </c>
      <c r="G769" s="16" t="str">
        <f aca="false">IF(A769="","",IFERROR(INDEX(Productos!$K$2:$K$1001,MATCH(A769,Productos!$A$2:$A$1001,0)),""))</f>
        <v/>
      </c>
      <c r="H769" s="16" t="str">
        <f aca="false">IF(OR(A769="",G769=""),"",F769*G769)</f>
        <v/>
      </c>
    </row>
    <row r="770" customFormat="false" ht="15" hidden="false" customHeight="false" outlineLevel="0" collapsed="false">
      <c r="A770" s="11"/>
      <c r="B770" s="12" t="str">
        <f aca="false">IF(A770="","",IFERROR(INDEX(Productos!$D$2:$D$1001,MATCH(A770,Productos!$A$2:$A$1001,0))&amp;" — "&amp;INDEX(Productos!$E$2:$E$1001,MATCH(A770,Productos!$A$2:$A$1001,0)),"SKU no existe en Productos"))</f>
        <v/>
      </c>
      <c r="C770" s="11"/>
      <c r="D770" s="11"/>
      <c r="E770" s="11"/>
      <c r="F770" s="12" t="str">
        <f aca="false">IF(A770="","",SUM(C770:E770))</f>
        <v/>
      </c>
      <c r="G770" s="16" t="str">
        <f aca="false">IF(A770="","",IFERROR(INDEX(Productos!$K$2:$K$1001,MATCH(A770,Productos!$A$2:$A$1001,0)),""))</f>
        <v/>
      </c>
      <c r="H770" s="16" t="str">
        <f aca="false">IF(OR(A770="",G770=""),"",F770*G770)</f>
        <v/>
      </c>
    </row>
    <row r="771" customFormat="false" ht="15" hidden="false" customHeight="false" outlineLevel="0" collapsed="false">
      <c r="A771" s="11"/>
      <c r="B771" s="12" t="str">
        <f aca="false">IF(A771="","",IFERROR(INDEX(Productos!$D$2:$D$1001,MATCH(A771,Productos!$A$2:$A$1001,0))&amp;" — "&amp;INDEX(Productos!$E$2:$E$1001,MATCH(A771,Productos!$A$2:$A$1001,0)),"SKU no existe en Productos"))</f>
        <v/>
      </c>
      <c r="C771" s="11"/>
      <c r="D771" s="11"/>
      <c r="E771" s="11"/>
      <c r="F771" s="12" t="str">
        <f aca="false">IF(A771="","",SUM(C771:E771))</f>
        <v/>
      </c>
      <c r="G771" s="16" t="str">
        <f aca="false">IF(A771="","",IFERROR(INDEX(Productos!$K$2:$K$1001,MATCH(A771,Productos!$A$2:$A$1001,0)),""))</f>
        <v/>
      </c>
      <c r="H771" s="16" t="str">
        <f aca="false">IF(OR(A771="",G771=""),"",F771*G771)</f>
        <v/>
      </c>
    </row>
    <row r="772" customFormat="false" ht="15" hidden="false" customHeight="false" outlineLevel="0" collapsed="false">
      <c r="A772" s="11"/>
      <c r="B772" s="12" t="str">
        <f aca="false">IF(A772="","",IFERROR(INDEX(Productos!$D$2:$D$1001,MATCH(A772,Productos!$A$2:$A$1001,0))&amp;" — "&amp;INDEX(Productos!$E$2:$E$1001,MATCH(A772,Productos!$A$2:$A$1001,0)),"SKU no existe en Productos"))</f>
        <v/>
      </c>
      <c r="C772" s="11"/>
      <c r="D772" s="11"/>
      <c r="E772" s="11"/>
      <c r="F772" s="12" t="str">
        <f aca="false">IF(A772="","",SUM(C772:E772))</f>
        <v/>
      </c>
      <c r="G772" s="16" t="str">
        <f aca="false">IF(A772="","",IFERROR(INDEX(Productos!$K$2:$K$1001,MATCH(A772,Productos!$A$2:$A$1001,0)),""))</f>
        <v/>
      </c>
      <c r="H772" s="16" t="str">
        <f aca="false">IF(OR(A772="",G772=""),"",F772*G772)</f>
        <v/>
      </c>
    </row>
    <row r="773" customFormat="false" ht="15" hidden="false" customHeight="false" outlineLevel="0" collapsed="false">
      <c r="A773" s="11"/>
      <c r="B773" s="12" t="str">
        <f aca="false">IF(A773="","",IFERROR(INDEX(Productos!$D$2:$D$1001,MATCH(A773,Productos!$A$2:$A$1001,0))&amp;" — "&amp;INDEX(Productos!$E$2:$E$1001,MATCH(A773,Productos!$A$2:$A$1001,0)),"SKU no existe en Productos"))</f>
        <v/>
      </c>
      <c r="C773" s="11"/>
      <c r="D773" s="11"/>
      <c r="E773" s="11"/>
      <c r="F773" s="12" t="str">
        <f aca="false">IF(A773="","",SUM(C773:E773))</f>
        <v/>
      </c>
      <c r="G773" s="16" t="str">
        <f aca="false">IF(A773="","",IFERROR(INDEX(Productos!$K$2:$K$1001,MATCH(A773,Productos!$A$2:$A$1001,0)),""))</f>
        <v/>
      </c>
      <c r="H773" s="16" t="str">
        <f aca="false">IF(OR(A773="",G773=""),"",F773*G773)</f>
        <v/>
      </c>
    </row>
    <row r="774" customFormat="false" ht="15" hidden="false" customHeight="false" outlineLevel="0" collapsed="false">
      <c r="A774" s="11"/>
      <c r="B774" s="12" t="str">
        <f aca="false">IF(A774="","",IFERROR(INDEX(Productos!$D$2:$D$1001,MATCH(A774,Productos!$A$2:$A$1001,0))&amp;" — "&amp;INDEX(Productos!$E$2:$E$1001,MATCH(A774,Productos!$A$2:$A$1001,0)),"SKU no existe en Productos"))</f>
        <v/>
      </c>
      <c r="C774" s="11"/>
      <c r="D774" s="11"/>
      <c r="E774" s="11"/>
      <c r="F774" s="12" t="str">
        <f aca="false">IF(A774="","",SUM(C774:E774))</f>
        <v/>
      </c>
      <c r="G774" s="16" t="str">
        <f aca="false">IF(A774="","",IFERROR(INDEX(Productos!$K$2:$K$1001,MATCH(A774,Productos!$A$2:$A$1001,0)),""))</f>
        <v/>
      </c>
      <c r="H774" s="16" t="str">
        <f aca="false">IF(OR(A774="",G774=""),"",F774*G774)</f>
        <v/>
      </c>
    </row>
    <row r="775" customFormat="false" ht="15" hidden="false" customHeight="false" outlineLevel="0" collapsed="false">
      <c r="A775" s="11"/>
      <c r="B775" s="12" t="str">
        <f aca="false">IF(A775="","",IFERROR(INDEX(Productos!$D$2:$D$1001,MATCH(A775,Productos!$A$2:$A$1001,0))&amp;" — "&amp;INDEX(Productos!$E$2:$E$1001,MATCH(A775,Productos!$A$2:$A$1001,0)),"SKU no existe en Productos"))</f>
        <v/>
      </c>
      <c r="C775" s="11"/>
      <c r="D775" s="11"/>
      <c r="E775" s="11"/>
      <c r="F775" s="12" t="str">
        <f aca="false">IF(A775="","",SUM(C775:E775))</f>
        <v/>
      </c>
      <c r="G775" s="16" t="str">
        <f aca="false">IF(A775="","",IFERROR(INDEX(Productos!$K$2:$K$1001,MATCH(A775,Productos!$A$2:$A$1001,0)),""))</f>
        <v/>
      </c>
      <c r="H775" s="16" t="str">
        <f aca="false">IF(OR(A775="",G775=""),"",F775*G775)</f>
        <v/>
      </c>
    </row>
    <row r="776" customFormat="false" ht="15" hidden="false" customHeight="false" outlineLevel="0" collapsed="false">
      <c r="A776" s="11"/>
      <c r="B776" s="12" t="str">
        <f aca="false">IF(A776="","",IFERROR(INDEX(Productos!$D$2:$D$1001,MATCH(A776,Productos!$A$2:$A$1001,0))&amp;" — "&amp;INDEX(Productos!$E$2:$E$1001,MATCH(A776,Productos!$A$2:$A$1001,0)),"SKU no existe en Productos"))</f>
        <v/>
      </c>
      <c r="C776" s="11"/>
      <c r="D776" s="11"/>
      <c r="E776" s="11"/>
      <c r="F776" s="12" t="str">
        <f aca="false">IF(A776="","",SUM(C776:E776))</f>
        <v/>
      </c>
      <c r="G776" s="16" t="str">
        <f aca="false">IF(A776="","",IFERROR(INDEX(Productos!$K$2:$K$1001,MATCH(A776,Productos!$A$2:$A$1001,0)),""))</f>
        <v/>
      </c>
      <c r="H776" s="16" t="str">
        <f aca="false">IF(OR(A776="",G776=""),"",F776*G776)</f>
        <v/>
      </c>
    </row>
    <row r="777" customFormat="false" ht="15" hidden="false" customHeight="false" outlineLevel="0" collapsed="false">
      <c r="A777" s="11"/>
      <c r="B777" s="12" t="str">
        <f aca="false">IF(A777="","",IFERROR(INDEX(Productos!$D$2:$D$1001,MATCH(A777,Productos!$A$2:$A$1001,0))&amp;" — "&amp;INDEX(Productos!$E$2:$E$1001,MATCH(A777,Productos!$A$2:$A$1001,0)),"SKU no existe en Productos"))</f>
        <v/>
      </c>
      <c r="C777" s="11"/>
      <c r="D777" s="11"/>
      <c r="E777" s="11"/>
      <c r="F777" s="12" t="str">
        <f aca="false">IF(A777="","",SUM(C777:E777))</f>
        <v/>
      </c>
      <c r="G777" s="16" t="str">
        <f aca="false">IF(A777="","",IFERROR(INDEX(Productos!$K$2:$K$1001,MATCH(A777,Productos!$A$2:$A$1001,0)),""))</f>
        <v/>
      </c>
      <c r="H777" s="16" t="str">
        <f aca="false">IF(OR(A777="",G777=""),"",F777*G777)</f>
        <v/>
      </c>
    </row>
    <row r="778" customFormat="false" ht="15" hidden="false" customHeight="false" outlineLevel="0" collapsed="false">
      <c r="A778" s="11"/>
      <c r="B778" s="12" t="str">
        <f aca="false">IF(A778="","",IFERROR(INDEX(Productos!$D$2:$D$1001,MATCH(A778,Productos!$A$2:$A$1001,0))&amp;" — "&amp;INDEX(Productos!$E$2:$E$1001,MATCH(A778,Productos!$A$2:$A$1001,0)),"SKU no existe en Productos"))</f>
        <v/>
      </c>
      <c r="C778" s="11"/>
      <c r="D778" s="11"/>
      <c r="E778" s="11"/>
      <c r="F778" s="12" t="str">
        <f aca="false">IF(A778="","",SUM(C778:E778))</f>
        <v/>
      </c>
      <c r="G778" s="16" t="str">
        <f aca="false">IF(A778="","",IFERROR(INDEX(Productos!$K$2:$K$1001,MATCH(A778,Productos!$A$2:$A$1001,0)),""))</f>
        <v/>
      </c>
      <c r="H778" s="16" t="str">
        <f aca="false">IF(OR(A778="",G778=""),"",F778*G778)</f>
        <v/>
      </c>
    </row>
    <row r="779" customFormat="false" ht="15" hidden="false" customHeight="false" outlineLevel="0" collapsed="false">
      <c r="A779" s="11"/>
      <c r="B779" s="12" t="str">
        <f aca="false">IF(A779="","",IFERROR(INDEX(Productos!$D$2:$D$1001,MATCH(A779,Productos!$A$2:$A$1001,0))&amp;" — "&amp;INDEX(Productos!$E$2:$E$1001,MATCH(A779,Productos!$A$2:$A$1001,0)),"SKU no existe en Productos"))</f>
        <v/>
      </c>
      <c r="C779" s="11"/>
      <c r="D779" s="11"/>
      <c r="E779" s="11"/>
      <c r="F779" s="12" t="str">
        <f aca="false">IF(A779="","",SUM(C779:E779))</f>
        <v/>
      </c>
      <c r="G779" s="16" t="str">
        <f aca="false">IF(A779="","",IFERROR(INDEX(Productos!$K$2:$K$1001,MATCH(A779,Productos!$A$2:$A$1001,0)),""))</f>
        <v/>
      </c>
      <c r="H779" s="16" t="str">
        <f aca="false">IF(OR(A779="",G779=""),"",F779*G779)</f>
        <v/>
      </c>
    </row>
    <row r="780" customFormat="false" ht="15" hidden="false" customHeight="false" outlineLevel="0" collapsed="false">
      <c r="A780" s="11"/>
      <c r="B780" s="12" t="str">
        <f aca="false">IF(A780="","",IFERROR(INDEX(Productos!$D$2:$D$1001,MATCH(A780,Productos!$A$2:$A$1001,0))&amp;" — "&amp;INDEX(Productos!$E$2:$E$1001,MATCH(A780,Productos!$A$2:$A$1001,0)),"SKU no existe en Productos"))</f>
        <v/>
      </c>
      <c r="C780" s="11"/>
      <c r="D780" s="11"/>
      <c r="E780" s="11"/>
      <c r="F780" s="12" t="str">
        <f aca="false">IF(A780="","",SUM(C780:E780))</f>
        <v/>
      </c>
      <c r="G780" s="16" t="str">
        <f aca="false">IF(A780="","",IFERROR(INDEX(Productos!$K$2:$K$1001,MATCH(A780,Productos!$A$2:$A$1001,0)),""))</f>
        <v/>
      </c>
      <c r="H780" s="16" t="str">
        <f aca="false">IF(OR(A780="",G780=""),"",F780*G780)</f>
        <v/>
      </c>
    </row>
    <row r="781" customFormat="false" ht="15" hidden="false" customHeight="false" outlineLevel="0" collapsed="false">
      <c r="A781" s="11"/>
      <c r="B781" s="12" t="str">
        <f aca="false">IF(A781="","",IFERROR(INDEX(Productos!$D$2:$D$1001,MATCH(A781,Productos!$A$2:$A$1001,0))&amp;" — "&amp;INDEX(Productos!$E$2:$E$1001,MATCH(A781,Productos!$A$2:$A$1001,0)),"SKU no existe en Productos"))</f>
        <v/>
      </c>
      <c r="C781" s="11"/>
      <c r="D781" s="11"/>
      <c r="E781" s="11"/>
      <c r="F781" s="12" t="str">
        <f aca="false">IF(A781="","",SUM(C781:E781))</f>
        <v/>
      </c>
      <c r="G781" s="16" t="str">
        <f aca="false">IF(A781="","",IFERROR(INDEX(Productos!$K$2:$K$1001,MATCH(A781,Productos!$A$2:$A$1001,0)),""))</f>
        <v/>
      </c>
      <c r="H781" s="16" t="str">
        <f aca="false">IF(OR(A781="",G781=""),"",F781*G781)</f>
        <v/>
      </c>
    </row>
    <row r="782" customFormat="false" ht="15" hidden="false" customHeight="false" outlineLevel="0" collapsed="false">
      <c r="A782" s="11"/>
      <c r="B782" s="12" t="str">
        <f aca="false">IF(A782="","",IFERROR(INDEX(Productos!$D$2:$D$1001,MATCH(A782,Productos!$A$2:$A$1001,0))&amp;" — "&amp;INDEX(Productos!$E$2:$E$1001,MATCH(A782,Productos!$A$2:$A$1001,0)),"SKU no existe en Productos"))</f>
        <v/>
      </c>
      <c r="C782" s="11"/>
      <c r="D782" s="11"/>
      <c r="E782" s="11"/>
      <c r="F782" s="12" t="str">
        <f aca="false">IF(A782="","",SUM(C782:E782))</f>
        <v/>
      </c>
      <c r="G782" s="16" t="str">
        <f aca="false">IF(A782="","",IFERROR(INDEX(Productos!$K$2:$K$1001,MATCH(A782,Productos!$A$2:$A$1001,0)),""))</f>
        <v/>
      </c>
      <c r="H782" s="16" t="str">
        <f aca="false">IF(OR(A782="",G782=""),"",F782*G782)</f>
        <v/>
      </c>
    </row>
    <row r="783" customFormat="false" ht="15" hidden="false" customHeight="false" outlineLevel="0" collapsed="false">
      <c r="A783" s="11"/>
      <c r="B783" s="12" t="str">
        <f aca="false">IF(A783="","",IFERROR(INDEX(Productos!$D$2:$D$1001,MATCH(A783,Productos!$A$2:$A$1001,0))&amp;" — "&amp;INDEX(Productos!$E$2:$E$1001,MATCH(A783,Productos!$A$2:$A$1001,0)),"SKU no existe en Productos"))</f>
        <v/>
      </c>
      <c r="C783" s="11"/>
      <c r="D783" s="11"/>
      <c r="E783" s="11"/>
      <c r="F783" s="12" t="str">
        <f aca="false">IF(A783="","",SUM(C783:E783))</f>
        <v/>
      </c>
      <c r="G783" s="16" t="str">
        <f aca="false">IF(A783="","",IFERROR(INDEX(Productos!$K$2:$K$1001,MATCH(A783,Productos!$A$2:$A$1001,0)),""))</f>
        <v/>
      </c>
      <c r="H783" s="16" t="str">
        <f aca="false">IF(OR(A783="",G783=""),"",F783*G783)</f>
        <v/>
      </c>
    </row>
    <row r="784" customFormat="false" ht="15" hidden="false" customHeight="false" outlineLevel="0" collapsed="false">
      <c r="A784" s="11"/>
      <c r="B784" s="12" t="str">
        <f aca="false">IF(A784="","",IFERROR(INDEX(Productos!$D$2:$D$1001,MATCH(A784,Productos!$A$2:$A$1001,0))&amp;" — "&amp;INDEX(Productos!$E$2:$E$1001,MATCH(A784,Productos!$A$2:$A$1001,0)),"SKU no existe en Productos"))</f>
        <v/>
      </c>
      <c r="C784" s="11"/>
      <c r="D784" s="11"/>
      <c r="E784" s="11"/>
      <c r="F784" s="12" t="str">
        <f aca="false">IF(A784="","",SUM(C784:E784))</f>
        <v/>
      </c>
      <c r="G784" s="16" t="str">
        <f aca="false">IF(A784="","",IFERROR(INDEX(Productos!$K$2:$K$1001,MATCH(A784,Productos!$A$2:$A$1001,0)),""))</f>
        <v/>
      </c>
      <c r="H784" s="16" t="str">
        <f aca="false">IF(OR(A784="",G784=""),"",F784*G784)</f>
        <v/>
      </c>
    </row>
    <row r="785" customFormat="false" ht="15" hidden="false" customHeight="false" outlineLevel="0" collapsed="false">
      <c r="A785" s="11"/>
      <c r="B785" s="12" t="str">
        <f aca="false">IF(A785="","",IFERROR(INDEX(Productos!$D$2:$D$1001,MATCH(A785,Productos!$A$2:$A$1001,0))&amp;" — "&amp;INDEX(Productos!$E$2:$E$1001,MATCH(A785,Productos!$A$2:$A$1001,0)),"SKU no existe en Productos"))</f>
        <v/>
      </c>
      <c r="C785" s="11"/>
      <c r="D785" s="11"/>
      <c r="E785" s="11"/>
      <c r="F785" s="12" t="str">
        <f aca="false">IF(A785="","",SUM(C785:E785))</f>
        <v/>
      </c>
      <c r="G785" s="16" t="str">
        <f aca="false">IF(A785="","",IFERROR(INDEX(Productos!$K$2:$K$1001,MATCH(A785,Productos!$A$2:$A$1001,0)),""))</f>
        <v/>
      </c>
      <c r="H785" s="16" t="str">
        <f aca="false">IF(OR(A785="",G785=""),"",F785*G785)</f>
        <v/>
      </c>
    </row>
    <row r="786" customFormat="false" ht="15" hidden="false" customHeight="false" outlineLevel="0" collapsed="false">
      <c r="A786" s="11"/>
      <c r="B786" s="12" t="str">
        <f aca="false">IF(A786="","",IFERROR(INDEX(Productos!$D$2:$D$1001,MATCH(A786,Productos!$A$2:$A$1001,0))&amp;" — "&amp;INDEX(Productos!$E$2:$E$1001,MATCH(A786,Productos!$A$2:$A$1001,0)),"SKU no existe en Productos"))</f>
        <v/>
      </c>
      <c r="C786" s="11"/>
      <c r="D786" s="11"/>
      <c r="E786" s="11"/>
      <c r="F786" s="12" t="str">
        <f aca="false">IF(A786="","",SUM(C786:E786))</f>
        <v/>
      </c>
      <c r="G786" s="16" t="str">
        <f aca="false">IF(A786="","",IFERROR(INDEX(Productos!$K$2:$K$1001,MATCH(A786,Productos!$A$2:$A$1001,0)),""))</f>
        <v/>
      </c>
      <c r="H786" s="16" t="str">
        <f aca="false">IF(OR(A786="",G786=""),"",F786*G786)</f>
        <v/>
      </c>
    </row>
    <row r="787" customFormat="false" ht="15" hidden="false" customHeight="false" outlineLevel="0" collapsed="false">
      <c r="A787" s="11"/>
      <c r="B787" s="12" t="str">
        <f aca="false">IF(A787="","",IFERROR(INDEX(Productos!$D$2:$D$1001,MATCH(A787,Productos!$A$2:$A$1001,0))&amp;" — "&amp;INDEX(Productos!$E$2:$E$1001,MATCH(A787,Productos!$A$2:$A$1001,0)),"SKU no existe en Productos"))</f>
        <v/>
      </c>
      <c r="C787" s="11"/>
      <c r="D787" s="11"/>
      <c r="E787" s="11"/>
      <c r="F787" s="12" t="str">
        <f aca="false">IF(A787="","",SUM(C787:E787))</f>
        <v/>
      </c>
      <c r="G787" s="16" t="str">
        <f aca="false">IF(A787="","",IFERROR(INDEX(Productos!$K$2:$K$1001,MATCH(A787,Productos!$A$2:$A$1001,0)),""))</f>
        <v/>
      </c>
      <c r="H787" s="16" t="str">
        <f aca="false">IF(OR(A787="",G787=""),"",F787*G787)</f>
        <v/>
      </c>
    </row>
    <row r="788" customFormat="false" ht="15" hidden="false" customHeight="false" outlineLevel="0" collapsed="false">
      <c r="A788" s="11"/>
      <c r="B788" s="12" t="str">
        <f aca="false">IF(A788="","",IFERROR(INDEX(Productos!$D$2:$D$1001,MATCH(A788,Productos!$A$2:$A$1001,0))&amp;" — "&amp;INDEX(Productos!$E$2:$E$1001,MATCH(A788,Productos!$A$2:$A$1001,0)),"SKU no existe en Productos"))</f>
        <v/>
      </c>
      <c r="C788" s="11"/>
      <c r="D788" s="11"/>
      <c r="E788" s="11"/>
      <c r="F788" s="12" t="str">
        <f aca="false">IF(A788="","",SUM(C788:E788))</f>
        <v/>
      </c>
      <c r="G788" s="16" t="str">
        <f aca="false">IF(A788="","",IFERROR(INDEX(Productos!$K$2:$K$1001,MATCH(A788,Productos!$A$2:$A$1001,0)),""))</f>
        <v/>
      </c>
      <c r="H788" s="16" t="str">
        <f aca="false">IF(OR(A788="",G788=""),"",F788*G788)</f>
        <v/>
      </c>
    </row>
    <row r="789" customFormat="false" ht="15" hidden="false" customHeight="false" outlineLevel="0" collapsed="false">
      <c r="A789" s="11"/>
      <c r="B789" s="12" t="str">
        <f aca="false">IF(A789="","",IFERROR(INDEX(Productos!$D$2:$D$1001,MATCH(A789,Productos!$A$2:$A$1001,0))&amp;" — "&amp;INDEX(Productos!$E$2:$E$1001,MATCH(A789,Productos!$A$2:$A$1001,0)),"SKU no existe en Productos"))</f>
        <v/>
      </c>
      <c r="C789" s="11"/>
      <c r="D789" s="11"/>
      <c r="E789" s="11"/>
      <c r="F789" s="12" t="str">
        <f aca="false">IF(A789="","",SUM(C789:E789))</f>
        <v/>
      </c>
      <c r="G789" s="16" t="str">
        <f aca="false">IF(A789="","",IFERROR(INDEX(Productos!$K$2:$K$1001,MATCH(A789,Productos!$A$2:$A$1001,0)),""))</f>
        <v/>
      </c>
      <c r="H789" s="16" t="str">
        <f aca="false">IF(OR(A789="",G789=""),"",F789*G789)</f>
        <v/>
      </c>
    </row>
    <row r="790" customFormat="false" ht="15" hidden="false" customHeight="false" outlineLevel="0" collapsed="false">
      <c r="A790" s="11"/>
      <c r="B790" s="12" t="str">
        <f aca="false">IF(A790="","",IFERROR(INDEX(Productos!$D$2:$D$1001,MATCH(A790,Productos!$A$2:$A$1001,0))&amp;" — "&amp;INDEX(Productos!$E$2:$E$1001,MATCH(A790,Productos!$A$2:$A$1001,0)),"SKU no existe en Productos"))</f>
        <v/>
      </c>
      <c r="C790" s="11"/>
      <c r="D790" s="11"/>
      <c r="E790" s="11"/>
      <c r="F790" s="12" t="str">
        <f aca="false">IF(A790="","",SUM(C790:E790))</f>
        <v/>
      </c>
      <c r="G790" s="16" t="str">
        <f aca="false">IF(A790="","",IFERROR(INDEX(Productos!$K$2:$K$1001,MATCH(A790,Productos!$A$2:$A$1001,0)),""))</f>
        <v/>
      </c>
      <c r="H790" s="16" t="str">
        <f aca="false">IF(OR(A790="",G790=""),"",F790*G790)</f>
        <v/>
      </c>
    </row>
    <row r="791" customFormat="false" ht="15" hidden="false" customHeight="false" outlineLevel="0" collapsed="false">
      <c r="A791" s="11"/>
      <c r="B791" s="12" t="str">
        <f aca="false">IF(A791="","",IFERROR(INDEX(Productos!$D$2:$D$1001,MATCH(A791,Productos!$A$2:$A$1001,0))&amp;" — "&amp;INDEX(Productos!$E$2:$E$1001,MATCH(A791,Productos!$A$2:$A$1001,0)),"SKU no existe en Productos"))</f>
        <v/>
      </c>
      <c r="C791" s="11"/>
      <c r="D791" s="11"/>
      <c r="E791" s="11"/>
      <c r="F791" s="12" t="str">
        <f aca="false">IF(A791="","",SUM(C791:E791))</f>
        <v/>
      </c>
      <c r="G791" s="16" t="str">
        <f aca="false">IF(A791="","",IFERROR(INDEX(Productos!$K$2:$K$1001,MATCH(A791,Productos!$A$2:$A$1001,0)),""))</f>
        <v/>
      </c>
      <c r="H791" s="16" t="str">
        <f aca="false">IF(OR(A791="",G791=""),"",F791*G791)</f>
        <v/>
      </c>
    </row>
    <row r="792" customFormat="false" ht="15" hidden="false" customHeight="false" outlineLevel="0" collapsed="false">
      <c r="A792" s="11"/>
      <c r="B792" s="12" t="str">
        <f aca="false">IF(A792="","",IFERROR(INDEX(Productos!$D$2:$D$1001,MATCH(A792,Productos!$A$2:$A$1001,0))&amp;" — "&amp;INDEX(Productos!$E$2:$E$1001,MATCH(A792,Productos!$A$2:$A$1001,0)),"SKU no existe en Productos"))</f>
        <v/>
      </c>
      <c r="C792" s="11"/>
      <c r="D792" s="11"/>
      <c r="E792" s="11"/>
      <c r="F792" s="12" t="str">
        <f aca="false">IF(A792="","",SUM(C792:E792))</f>
        <v/>
      </c>
      <c r="G792" s="16" t="str">
        <f aca="false">IF(A792="","",IFERROR(INDEX(Productos!$K$2:$K$1001,MATCH(A792,Productos!$A$2:$A$1001,0)),""))</f>
        <v/>
      </c>
      <c r="H792" s="16" t="str">
        <f aca="false">IF(OR(A792="",G792=""),"",F792*G792)</f>
        <v/>
      </c>
    </row>
    <row r="793" customFormat="false" ht="15" hidden="false" customHeight="false" outlineLevel="0" collapsed="false">
      <c r="A793" s="11"/>
      <c r="B793" s="12" t="str">
        <f aca="false">IF(A793="","",IFERROR(INDEX(Productos!$D$2:$D$1001,MATCH(A793,Productos!$A$2:$A$1001,0))&amp;" — "&amp;INDEX(Productos!$E$2:$E$1001,MATCH(A793,Productos!$A$2:$A$1001,0)),"SKU no existe en Productos"))</f>
        <v/>
      </c>
      <c r="C793" s="11"/>
      <c r="D793" s="11"/>
      <c r="E793" s="11"/>
      <c r="F793" s="12" t="str">
        <f aca="false">IF(A793="","",SUM(C793:E793))</f>
        <v/>
      </c>
      <c r="G793" s="16" t="str">
        <f aca="false">IF(A793="","",IFERROR(INDEX(Productos!$K$2:$K$1001,MATCH(A793,Productos!$A$2:$A$1001,0)),""))</f>
        <v/>
      </c>
      <c r="H793" s="16" t="str">
        <f aca="false">IF(OR(A793="",G793=""),"",F793*G793)</f>
        <v/>
      </c>
    </row>
    <row r="794" customFormat="false" ht="15" hidden="false" customHeight="false" outlineLevel="0" collapsed="false">
      <c r="A794" s="11"/>
      <c r="B794" s="12" t="str">
        <f aca="false">IF(A794="","",IFERROR(INDEX(Productos!$D$2:$D$1001,MATCH(A794,Productos!$A$2:$A$1001,0))&amp;" — "&amp;INDEX(Productos!$E$2:$E$1001,MATCH(A794,Productos!$A$2:$A$1001,0)),"SKU no existe en Productos"))</f>
        <v/>
      </c>
      <c r="C794" s="11"/>
      <c r="D794" s="11"/>
      <c r="E794" s="11"/>
      <c r="F794" s="12" t="str">
        <f aca="false">IF(A794="","",SUM(C794:E794))</f>
        <v/>
      </c>
      <c r="G794" s="16" t="str">
        <f aca="false">IF(A794="","",IFERROR(INDEX(Productos!$K$2:$K$1001,MATCH(A794,Productos!$A$2:$A$1001,0)),""))</f>
        <v/>
      </c>
      <c r="H794" s="16" t="str">
        <f aca="false">IF(OR(A794="",G794=""),"",F794*G794)</f>
        <v/>
      </c>
    </row>
    <row r="795" customFormat="false" ht="15" hidden="false" customHeight="false" outlineLevel="0" collapsed="false">
      <c r="A795" s="11"/>
      <c r="B795" s="12" t="str">
        <f aca="false">IF(A795="","",IFERROR(INDEX(Productos!$D$2:$D$1001,MATCH(A795,Productos!$A$2:$A$1001,0))&amp;" — "&amp;INDEX(Productos!$E$2:$E$1001,MATCH(A795,Productos!$A$2:$A$1001,0)),"SKU no existe en Productos"))</f>
        <v/>
      </c>
      <c r="C795" s="11"/>
      <c r="D795" s="11"/>
      <c r="E795" s="11"/>
      <c r="F795" s="12" t="str">
        <f aca="false">IF(A795="","",SUM(C795:E795))</f>
        <v/>
      </c>
      <c r="G795" s="16" t="str">
        <f aca="false">IF(A795="","",IFERROR(INDEX(Productos!$K$2:$K$1001,MATCH(A795,Productos!$A$2:$A$1001,0)),""))</f>
        <v/>
      </c>
      <c r="H795" s="16" t="str">
        <f aca="false">IF(OR(A795="",G795=""),"",F795*G795)</f>
        <v/>
      </c>
    </row>
    <row r="796" customFormat="false" ht="15" hidden="false" customHeight="false" outlineLevel="0" collapsed="false">
      <c r="A796" s="11"/>
      <c r="B796" s="12" t="str">
        <f aca="false">IF(A796="","",IFERROR(INDEX(Productos!$D$2:$D$1001,MATCH(A796,Productos!$A$2:$A$1001,0))&amp;" — "&amp;INDEX(Productos!$E$2:$E$1001,MATCH(A796,Productos!$A$2:$A$1001,0)),"SKU no existe en Productos"))</f>
        <v/>
      </c>
      <c r="C796" s="11"/>
      <c r="D796" s="11"/>
      <c r="E796" s="11"/>
      <c r="F796" s="12" t="str">
        <f aca="false">IF(A796="","",SUM(C796:E796))</f>
        <v/>
      </c>
      <c r="G796" s="16" t="str">
        <f aca="false">IF(A796="","",IFERROR(INDEX(Productos!$K$2:$K$1001,MATCH(A796,Productos!$A$2:$A$1001,0)),""))</f>
        <v/>
      </c>
      <c r="H796" s="16" t="str">
        <f aca="false">IF(OR(A796="",G796=""),"",F796*G796)</f>
        <v/>
      </c>
    </row>
    <row r="797" customFormat="false" ht="15" hidden="false" customHeight="false" outlineLevel="0" collapsed="false">
      <c r="A797" s="11"/>
      <c r="B797" s="12" t="str">
        <f aca="false">IF(A797="","",IFERROR(INDEX(Productos!$D$2:$D$1001,MATCH(A797,Productos!$A$2:$A$1001,0))&amp;" — "&amp;INDEX(Productos!$E$2:$E$1001,MATCH(A797,Productos!$A$2:$A$1001,0)),"SKU no existe en Productos"))</f>
        <v/>
      </c>
      <c r="C797" s="11"/>
      <c r="D797" s="11"/>
      <c r="E797" s="11"/>
      <c r="F797" s="12" t="str">
        <f aca="false">IF(A797="","",SUM(C797:E797))</f>
        <v/>
      </c>
      <c r="G797" s="16" t="str">
        <f aca="false">IF(A797="","",IFERROR(INDEX(Productos!$K$2:$K$1001,MATCH(A797,Productos!$A$2:$A$1001,0)),""))</f>
        <v/>
      </c>
      <c r="H797" s="16" t="str">
        <f aca="false">IF(OR(A797="",G797=""),"",F797*G797)</f>
        <v/>
      </c>
    </row>
    <row r="798" customFormat="false" ht="15" hidden="false" customHeight="false" outlineLevel="0" collapsed="false">
      <c r="A798" s="11"/>
      <c r="B798" s="12" t="str">
        <f aca="false">IF(A798="","",IFERROR(INDEX(Productos!$D$2:$D$1001,MATCH(A798,Productos!$A$2:$A$1001,0))&amp;" — "&amp;INDEX(Productos!$E$2:$E$1001,MATCH(A798,Productos!$A$2:$A$1001,0)),"SKU no existe en Productos"))</f>
        <v/>
      </c>
      <c r="C798" s="11"/>
      <c r="D798" s="11"/>
      <c r="E798" s="11"/>
      <c r="F798" s="12" t="str">
        <f aca="false">IF(A798="","",SUM(C798:E798))</f>
        <v/>
      </c>
      <c r="G798" s="16" t="str">
        <f aca="false">IF(A798="","",IFERROR(INDEX(Productos!$K$2:$K$1001,MATCH(A798,Productos!$A$2:$A$1001,0)),""))</f>
        <v/>
      </c>
      <c r="H798" s="16" t="str">
        <f aca="false">IF(OR(A798="",G798=""),"",F798*G798)</f>
        <v/>
      </c>
    </row>
    <row r="799" customFormat="false" ht="15" hidden="false" customHeight="false" outlineLevel="0" collapsed="false">
      <c r="A799" s="11"/>
      <c r="B799" s="12" t="str">
        <f aca="false">IF(A799="","",IFERROR(INDEX(Productos!$D$2:$D$1001,MATCH(A799,Productos!$A$2:$A$1001,0))&amp;" — "&amp;INDEX(Productos!$E$2:$E$1001,MATCH(A799,Productos!$A$2:$A$1001,0)),"SKU no existe en Productos"))</f>
        <v/>
      </c>
      <c r="C799" s="11"/>
      <c r="D799" s="11"/>
      <c r="E799" s="11"/>
      <c r="F799" s="12" t="str">
        <f aca="false">IF(A799="","",SUM(C799:E799))</f>
        <v/>
      </c>
      <c r="G799" s="16" t="str">
        <f aca="false">IF(A799="","",IFERROR(INDEX(Productos!$K$2:$K$1001,MATCH(A799,Productos!$A$2:$A$1001,0)),""))</f>
        <v/>
      </c>
      <c r="H799" s="16" t="str">
        <f aca="false">IF(OR(A799="",G799=""),"",F799*G799)</f>
        <v/>
      </c>
    </row>
    <row r="800" customFormat="false" ht="15" hidden="false" customHeight="false" outlineLevel="0" collapsed="false">
      <c r="A800" s="11"/>
      <c r="B800" s="12" t="str">
        <f aca="false">IF(A800="","",IFERROR(INDEX(Productos!$D$2:$D$1001,MATCH(A800,Productos!$A$2:$A$1001,0))&amp;" — "&amp;INDEX(Productos!$E$2:$E$1001,MATCH(A800,Productos!$A$2:$A$1001,0)),"SKU no existe en Productos"))</f>
        <v/>
      </c>
      <c r="C800" s="11"/>
      <c r="D800" s="11"/>
      <c r="E800" s="11"/>
      <c r="F800" s="12" t="str">
        <f aca="false">IF(A800="","",SUM(C800:E800))</f>
        <v/>
      </c>
      <c r="G800" s="16" t="str">
        <f aca="false">IF(A800="","",IFERROR(INDEX(Productos!$K$2:$K$1001,MATCH(A800,Productos!$A$2:$A$1001,0)),""))</f>
        <v/>
      </c>
      <c r="H800" s="16" t="str">
        <f aca="false">IF(OR(A800="",G800=""),"",F800*G800)</f>
        <v/>
      </c>
    </row>
    <row r="801" customFormat="false" ht="15" hidden="false" customHeight="false" outlineLevel="0" collapsed="false">
      <c r="A801" s="11"/>
      <c r="B801" s="12" t="str">
        <f aca="false">IF(A801="","",IFERROR(INDEX(Productos!$D$2:$D$1001,MATCH(A801,Productos!$A$2:$A$1001,0))&amp;" — "&amp;INDEX(Productos!$E$2:$E$1001,MATCH(A801,Productos!$A$2:$A$1001,0)),"SKU no existe en Productos"))</f>
        <v/>
      </c>
      <c r="C801" s="11"/>
      <c r="D801" s="11"/>
      <c r="E801" s="11"/>
      <c r="F801" s="12" t="str">
        <f aca="false">IF(A801="","",SUM(C801:E801))</f>
        <v/>
      </c>
      <c r="G801" s="16" t="str">
        <f aca="false">IF(A801="","",IFERROR(INDEX(Productos!$K$2:$K$1001,MATCH(A801,Productos!$A$2:$A$1001,0)),""))</f>
        <v/>
      </c>
      <c r="H801" s="16" t="str">
        <f aca="false">IF(OR(A801="",G801=""),"",F801*G801)</f>
        <v/>
      </c>
    </row>
    <row r="802" customFormat="false" ht="15" hidden="false" customHeight="false" outlineLevel="0" collapsed="false">
      <c r="A802" s="11"/>
      <c r="B802" s="12" t="str">
        <f aca="false">IF(A802="","",IFERROR(INDEX(Productos!$D$2:$D$1001,MATCH(A802,Productos!$A$2:$A$1001,0))&amp;" — "&amp;INDEX(Productos!$E$2:$E$1001,MATCH(A802,Productos!$A$2:$A$1001,0)),"SKU no existe en Productos"))</f>
        <v/>
      </c>
      <c r="C802" s="11"/>
      <c r="D802" s="11"/>
      <c r="E802" s="11"/>
      <c r="F802" s="12" t="str">
        <f aca="false">IF(A802="","",SUM(C802:E802))</f>
        <v/>
      </c>
      <c r="G802" s="16" t="str">
        <f aca="false">IF(A802="","",IFERROR(INDEX(Productos!$K$2:$K$1001,MATCH(A802,Productos!$A$2:$A$1001,0)),""))</f>
        <v/>
      </c>
      <c r="H802" s="16" t="str">
        <f aca="false">IF(OR(A802="",G802=""),"",F802*G802)</f>
        <v/>
      </c>
    </row>
    <row r="803" customFormat="false" ht="15" hidden="false" customHeight="false" outlineLevel="0" collapsed="false">
      <c r="A803" s="11"/>
      <c r="B803" s="12" t="str">
        <f aca="false">IF(A803="","",IFERROR(INDEX(Productos!$D$2:$D$1001,MATCH(A803,Productos!$A$2:$A$1001,0))&amp;" — "&amp;INDEX(Productos!$E$2:$E$1001,MATCH(A803,Productos!$A$2:$A$1001,0)),"SKU no existe en Productos"))</f>
        <v/>
      </c>
      <c r="C803" s="11"/>
      <c r="D803" s="11"/>
      <c r="E803" s="11"/>
      <c r="F803" s="12" t="str">
        <f aca="false">IF(A803="","",SUM(C803:E803))</f>
        <v/>
      </c>
      <c r="G803" s="16" t="str">
        <f aca="false">IF(A803="","",IFERROR(INDEX(Productos!$K$2:$K$1001,MATCH(A803,Productos!$A$2:$A$1001,0)),""))</f>
        <v/>
      </c>
      <c r="H803" s="16" t="str">
        <f aca="false">IF(OR(A803="",G803=""),"",F803*G803)</f>
        <v/>
      </c>
    </row>
    <row r="804" customFormat="false" ht="15" hidden="false" customHeight="false" outlineLevel="0" collapsed="false">
      <c r="A804" s="11"/>
      <c r="B804" s="12" t="str">
        <f aca="false">IF(A804="","",IFERROR(INDEX(Productos!$D$2:$D$1001,MATCH(A804,Productos!$A$2:$A$1001,0))&amp;" — "&amp;INDEX(Productos!$E$2:$E$1001,MATCH(A804,Productos!$A$2:$A$1001,0)),"SKU no existe en Productos"))</f>
        <v/>
      </c>
      <c r="C804" s="11"/>
      <c r="D804" s="11"/>
      <c r="E804" s="11"/>
      <c r="F804" s="12" t="str">
        <f aca="false">IF(A804="","",SUM(C804:E804))</f>
        <v/>
      </c>
      <c r="G804" s="16" t="str">
        <f aca="false">IF(A804="","",IFERROR(INDEX(Productos!$K$2:$K$1001,MATCH(A804,Productos!$A$2:$A$1001,0)),""))</f>
        <v/>
      </c>
      <c r="H804" s="16" t="str">
        <f aca="false">IF(OR(A804="",G804=""),"",F804*G804)</f>
        <v/>
      </c>
    </row>
    <row r="805" customFormat="false" ht="15" hidden="false" customHeight="false" outlineLevel="0" collapsed="false">
      <c r="A805" s="11"/>
      <c r="B805" s="12" t="str">
        <f aca="false">IF(A805="","",IFERROR(INDEX(Productos!$D$2:$D$1001,MATCH(A805,Productos!$A$2:$A$1001,0))&amp;" — "&amp;INDEX(Productos!$E$2:$E$1001,MATCH(A805,Productos!$A$2:$A$1001,0)),"SKU no existe en Productos"))</f>
        <v/>
      </c>
      <c r="C805" s="11"/>
      <c r="D805" s="11"/>
      <c r="E805" s="11"/>
      <c r="F805" s="12" t="str">
        <f aca="false">IF(A805="","",SUM(C805:E805))</f>
        <v/>
      </c>
      <c r="G805" s="16" t="str">
        <f aca="false">IF(A805="","",IFERROR(INDEX(Productos!$K$2:$K$1001,MATCH(A805,Productos!$A$2:$A$1001,0)),""))</f>
        <v/>
      </c>
      <c r="H805" s="16" t="str">
        <f aca="false">IF(OR(A805="",G805=""),"",F805*G805)</f>
        <v/>
      </c>
    </row>
    <row r="806" customFormat="false" ht="15" hidden="false" customHeight="false" outlineLevel="0" collapsed="false">
      <c r="A806" s="11"/>
      <c r="B806" s="12" t="str">
        <f aca="false">IF(A806="","",IFERROR(INDEX(Productos!$D$2:$D$1001,MATCH(A806,Productos!$A$2:$A$1001,0))&amp;" — "&amp;INDEX(Productos!$E$2:$E$1001,MATCH(A806,Productos!$A$2:$A$1001,0)),"SKU no existe en Productos"))</f>
        <v/>
      </c>
      <c r="C806" s="11"/>
      <c r="D806" s="11"/>
      <c r="E806" s="11"/>
      <c r="F806" s="12" t="str">
        <f aca="false">IF(A806="","",SUM(C806:E806))</f>
        <v/>
      </c>
      <c r="G806" s="16" t="str">
        <f aca="false">IF(A806="","",IFERROR(INDEX(Productos!$K$2:$K$1001,MATCH(A806,Productos!$A$2:$A$1001,0)),""))</f>
        <v/>
      </c>
      <c r="H806" s="16" t="str">
        <f aca="false">IF(OR(A806="",G806=""),"",F806*G806)</f>
        <v/>
      </c>
    </row>
    <row r="807" customFormat="false" ht="15" hidden="false" customHeight="false" outlineLevel="0" collapsed="false">
      <c r="A807" s="11"/>
      <c r="B807" s="12" t="str">
        <f aca="false">IF(A807="","",IFERROR(INDEX(Productos!$D$2:$D$1001,MATCH(A807,Productos!$A$2:$A$1001,0))&amp;" — "&amp;INDEX(Productos!$E$2:$E$1001,MATCH(A807,Productos!$A$2:$A$1001,0)),"SKU no existe en Productos"))</f>
        <v/>
      </c>
      <c r="C807" s="11"/>
      <c r="D807" s="11"/>
      <c r="E807" s="11"/>
      <c r="F807" s="12" t="str">
        <f aca="false">IF(A807="","",SUM(C807:E807))</f>
        <v/>
      </c>
      <c r="G807" s="16" t="str">
        <f aca="false">IF(A807="","",IFERROR(INDEX(Productos!$K$2:$K$1001,MATCH(A807,Productos!$A$2:$A$1001,0)),""))</f>
        <v/>
      </c>
      <c r="H807" s="16" t="str">
        <f aca="false">IF(OR(A807="",G807=""),"",F807*G807)</f>
        <v/>
      </c>
    </row>
    <row r="808" customFormat="false" ht="15" hidden="false" customHeight="false" outlineLevel="0" collapsed="false">
      <c r="A808" s="11"/>
      <c r="B808" s="12" t="str">
        <f aca="false">IF(A808="","",IFERROR(INDEX(Productos!$D$2:$D$1001,MATCH(A808,Productos!$A$2:$A$1001,0))&amp;" — "&amp;INDEX(Productos!$E$2:$E$1001,MATCH(A808,Productos!$A$2:$A$1001,0)),"SKU no existe en Productos"))</f>
        <v/>
      </c>
      <c r="C808" s="11"/>
      <c r="D808" s="11"/>
      <c r="E808" s="11"/>
      <c r="F808" s="12" t="str">
        <f aca="false">IF(A808="","",SUM(C808:E808))</f>
        <v/>
      </c>
      <c r="G808" s="16" t="str">
        <f aca="false">IF(A808="","",IFERROR(INDEX(Productos!$K$2:$K$1001,MATCH(A808,Productos!$A$2:$A$1001,0)),""))</f>
        <v/>
      </c>
      <c r="H808" s="16" t="str">
        <f aca="false">IF(OR(A808="",G808=""),"",F808*G808)</f>
        <v/>
      </c>
    </row>
    <row r="809" customFormat="false" ht="15" hidden="false" customHeight="false" outlineLevel="0" collapsed="false">
      <c r="A809" s="11"/>
      <c r="B809" s="12" t="str">
        <f aca="false">IF(A809="","",IFERROR(INDEX(Productos!$D$2:$D$1001,MATCH(A809,Productos!$A$2:$A$1001,0))&amp;" — "&amp;INDEX(Productos!$E$2:$E$1001,MATCH(A809,Productos!$A$2:$A$1001,0)),"SKU no existe en Productos"))</f>
        <v/>
      </c>
      <c r="C809" s="11"/>
      <c r="D809" s="11"/>
      <c r="E809" s="11"/>
      <c r="F809" s="12" t="str">
        <f aca="false">IF(A809="","",SUM(C809:E809))</f>
        <v/>
      </c>
      <c r="G809" s="16" t="str">
        <f aca="false">IF(A809="","",IFERROR(INDEX(Productos!$K$2:$K$1001,MATCH(A809,Productos!$A$2:$A$1001,0)),""))</f>
        <v/>
      </c>
      <c r="H809" s="16" t="str">
        <f aca="false">IF(OR(A809="",G809=""),"",F809*G809)</f>
        <v/>
      </c>
    </row>
    <row r="810" customFormat="false" ht="15" hidden="false" customHeight="false" outlineLevel="0" collapsed="false">
      <c r="A810" s="11"/>
      <c r="B810" s="12" t="str">
        <f aca="false">IF(A810="","",IFERROR(INDEX(Productos!$D$2:$D$1001,MATCH(A810,Productos!$A$2:$A$1001,0))&amp;" — "&amp;INDEX(Productos!$E$2:$E$1001,MATCH(A810,Productos!$A$2:$A$1001,0)),"SKU no existe en Productos"))</f>
        <v/>
      </c>
      <c r="C810" s="11"/>
      <c r="D810" s="11"/>
      <c r="E810" s="11"/>
      <c r="F810" s="12" t="str">
        <f aca="false">IF(A810="","",SUM(C810:E810))</f>
        <v/>
      </c>
      <c r="G810" s="16" t="str">
        <f aca="false">IF(A810="","",IFERROR(INDEX(Productos!$K$2:$K$1001,MATCH(A810,Productos!$A$2:$A$1001,0)),""))</f>
        <v/>
      </c>
      <c r="H810" s="16" t="str">
        <f aca="false">IF(OR(A810="",G810=""),"",F810*G810)</f>
        <v/>
      </c>
    </row>
    <row r="811" customFormat="false" ht="15" hidden="false" customHeight="false" outlineLevel="0" collapsed="false">
      <c r="A811" s="11"/>
      <c r="B811" s="12" t="str">
        <f aca="false">IF(A811="","",IFERROR(INDEX(Productos!$D$2:$D$1001,MATCH(A811,Productos!$A$2:$A$1001,0))&amp;" — "&amp;INDEX(Productos!$E$2:$E$1001,MATCH(A811,Productos!$A$2:$A$1001,0)),"SKU no existe en Productos"))</f>
        <v/>
      </c>
      <c r="C811" s="11"/>
      <c r="D811" s="11"/>
      <c r="E811" s="11"/>
      <c r="F811" s="12" t="str">
        <f aca="false">IF(A811="","",SUM(C811:E811))</f>
        <v/>
      </c>
      <c r="G811" s="16" t="str">
        <f aca="false">IF(A811="","",IFERROR(INDEX(Productos!$K$2:$K$1001,MATCH(A811,Productos!$A$2:$A$1001,0)),""))</f>
        <v/>
      </c>
      <c r="H811" s="16" t="str">
        <f aca="false">IF(OR(A811="",G811=""),"",F811*G811)</f>
        <v/>
      </c>
    </row>
    <row r="812" customFormat="false" ht="15" hidden="false" customHeight="false" outlineLevel="0" collapsed="false">
      <c r="A812" s="11"/>
      <c r="B812" s="12" t="str">
        <f aca="false">IF(A812="","",IFERROR(INDEX(Productos!$D$2:$D$1001,MATCH(A812,Productos!$A$2:$A$1001,0))&amp;" — "&amp;INDEX(Productos!$E$2:$E$1001,MATCH(A812,Productos!$A$2:$A$1001,0)),"SKU no existe en Productos"))</f>
        <v/>
      </c>
      <c r="C812" s="11"/>
      <c r="D812" s="11"/>
      <c r="E812" s="11"/>
      <c r="F812" s="12" t="str">
        <f aca="false">IF(A812="","",SUM(C812:E812))</f>
        <v/>
      </c>
      <c r="G812" s="16" t="str">
        <f aca="false">IF(A812="","",IFERROR(INDEX(Productos!$K$2:$K$1001,MATCH(A812,Productos!$A$2:$A$1001,0)),""))</f>
        <v/>
      </c>
      <c r="H812" s="16" t="str">
        <f aca="false">IF(OR(A812="",G812=""),"",F812*G812)</f>
        <v/>
      </c>
    </row>
    <row r="813" customFormat="false" ht="15" hidden="false" customHeight="false" outlineLevel="0" collapsed="false">
      <c r="A813" s="11"/>
      <c r="B813" s="12" t="str">
        <f aca="false">IF(A813="","",IFERROR(INDEX(Productos!$D$2:$D$1001,MATCH(A813,Productos!$A$2:$A$1001,0))&amp;" — "&amp;INDEX(Productos!$E$2:$E$1001,MATCH(A813,Productos!$A$2:$A$1001,0)),"SKU no existe en Productos"))</f>
        <v/>
      </c>
      <c r="C813" s="11"/>
      <c r="D813" s="11"/>
      <c r="E813" s="11"/>
      <c r="F813" s="12" t="str">
        <f aca="false">IF(A813="","",SUM(C813:E813))</f>
        <v/>
      </c>
      <c r="G813" s="16" t="str">
        <f aca="false">IF(A813="","",IFERROR(INDEX(Productos!$K$2:$K$1001,MATCH(A813,Productos!$A$2:$A$1001,0)),""))</f>
        <v/>
      </c>
      <c r="H813" s="16" t="str">
        <f aca="false">IF(OR(A813="",G813=""),"",F813*G813)</f>
        <v/>
      </c>
    </row>
    <row r="814" customFormat="false" ht="15" hidden="false" customHeight="false" outlineLevel="0" collapsed="false">
      <c r="A814" s="11"/>
      <c r="B814" s="12" t="str">
        <f aca="false">IF(A814="","",IFERROR(INDEX(Productos!$D$2:$D$1001,MATCH(A814,Productos!$A$2:$A$1001,0))&amp;" — "&amp;INDEX(Productos!$E$2:$E$1001,MATCH(A814,Productos!$A$2:$A$1001,0)),"SKU no existe en Productos"))</f>
        <v/>
      </c>
      <c r="C814" s="11"/>
      <c r="D814" s="11"/>
      <c r="E814" s="11"/>
      <c r="F814" s="12" t="str">
        <f aca="false">IF(A814="","",SUM(C814:E814))</f>
        <v/>
      </c>
      <c r="G814" s="16" t="str">
        <f aca="false">IF(A814="","",IFERROR(INDEX(Productos!$K$2:$K$1001,MATCH(A814,Productos!$A$2:$A$1001,0)),""))</f>
        <v/>
      </c>
      <c r="H814" s="16" t="str">
        <f aca="false">IF(OR(A814="",G814=""),"",F814*G814)</f>
        <v/>
      </c>
    </row>
    <row r="815" customFormat="false" ht="15" hidden="false" customHeight="false" outlineLevel="0" collapsed="false">
      <c r="A815" s="11"/>
      <c r="B815" s="12" t="str">
        <f aca="false">IF(A815="","",IFERROR(INDEX(Productos!$D$2:$D$1001,MATCH(A815,Productos!$A$2:$A$1001,0))&amp;" — "&amp;INDEX(Productos!$E$2:$E$1001,MATCH(A815,Productos!$A$2:$A$1001,0)),"SKU no existe en Productos"))</f>
        <v/>
      </c>
      <c r="C815" s="11"/>
      <c r="D815" s="11"/>
      <c r="E815" s="11"/>
      <c r="F815" s="12" t="str">
        <f aca="false">IF(A815="","",SUM(C815:E815))</f>
        <v/>
      </c>
      <c r="G815" s="16" t="str">
        <f aca="false">IF(A815="","",IFERROR(INDEX(Productos!$K$2:$K$1001,MATCH(A815,Productos!$A$2:$A$1001,0)),""))</f>
        <v/>
      </c>
      <c r="H815" s="16" t="str">
        <f aca="false">IF(OR(A815="",G815=""),"",F815*G815)</f>
        <v/>
      </c>
    </row>
    <row r="816" customFormat="false" ht="15" hidden="false" customHeight="false" outlineLevel="0" collapsed="false">
      <c r="A816" s="11"/>
      <c r="B816" s="12" t="str">
        <f aca="false">IF(A816="","",IFERROR(INDEX(Productos!$D$2:$D$1001,MATCH(A816,Productos!$A$2:$A$1001,0))&amp;" — "&amp;INDEX(Productos!$E$2:$E$1001,MATCH(A816,Productos!$A$2:$A$1001,0)),"SKU no existe en Productos"))</f>
        <v/>
      </c>
      <c r="C816" s="11"/>
      <c r="D816" s="11"/>
      <c r="E816" s="11"/>
      <c r="F816" s="12" t="str">
        <f aca="false">IF(A816="","",SUM(C816:E816))</f>
        <v/>
      </c>
      <c r="G816" s="16" t="str">
        <f aca="false">IF(A816="","",IFERROR(INDEX(Productos!$K$2:$K$1001,MATCH(A816,Productos!$A$2:$A$1001,0)),""))</f>
        <v/>
      </c>
      <c r="H816" s="16" t="str">
        <f aca="false">IF(OR(A816="",G816=""),"",F816*G816)</f>
        <v/>
      </c>
    </row>
    <row r="817" customFormat="false" ht="15" hidden="false" customHeight="false" outlineLevel="0" collapsed="false">
      <c r="A817" s="11"/>
      <c r="B817" s="12" t="str">
        <f aca="false">IF(A817="","",IFERROR(INDEX(Productos!$D$2:$D$1001,MATCH(A817,Productos!$A$2:$A$1001,0))&amp;" — "&amp;INDEX(Productos!$E$2:$E$1001,MATCH(A817,Productos!$A$2:$A$1001,0)),"SKU no existe en Productos"))</f>
        <v/>
      </c>
      <c r="C817" s="11"/>
      <c r="D817" s="11"/>
      <c r="E817" s="11"/>
      <c r="F817" s="12" t="str">
        <f aca="false">IF(A817="","",SUM(C817:E817))</f>
        <v/>
      </c>
      <c r="G817" s="16" t="str">
        <f aca="false">IF(A817="","",IFERROR(INDEX(Productos!$K$2:$K$1001,MATCH(A817,Productos!$A$2:$A$1001,0)),""))</f>
        <v/>
      </c>
      <c r="H817" s="16" t="str">
        <f aca="false">IF(OR(A817="",G817=""),"",F817*G817)</f>
        <v/>
      </c>
    </row>
    <row r="818" customFormat="false" ht="15" hidden="false" customHeight="false" outlineLevel="0" collapsed="false">
      <c r="A818" s="11"/>
      <c r="B818" s="12" t="str">
        <f aca="false">IF(A818="","",IFERROR(INDEX(Productos!$D$2:$D$1001,MATCH(A818,Productos!$A$2:$A$1001,0))&amp;" — "&amp;INDEX(Productos!$E$2:$E$1001,MATCH(A818,Productos!$A$2:$A$1001,0)),"SKU no existe en Productos"))</f>
        <v/>
      </c>
      <c r="C818" s="11"/>
      <c r="D818" s="11"/>
      <c r="E818" s="11"/>
      <c r="F818" s="12" t="str">
        <f aca="false">IF(A818="","",SUM(C818:E818))</f>
        <v/>
      </c>
      <c r="G818" s="16" t="str">
        <f aca="false">IF(A818="","",IFERROR(INDEX(Productos!$K$2:$K$1001,MATCH(A818,Productos!$A$2:$A$1001,0)),""))</f>
        <v/>
      </c>
      <c r="H818" s="16" t="str">
        <f aca="false">IF(OR(A818="",G818=""),"",F818*G818)</f>
        <v/>
      </c>
    </row>
    <row r="819" customFormat="false" ht="15" hidden="false" customHeight="false" outlineLevel="0" collapsed="false">
      <c r="A819" s="11"/>
      <c r="B819" s="12" t="str">
        <f aca="false">IF(A819="","",IFERROR(INDEX(Productos!$D$2:$D$1001,MATCH(A819,Productos!$A$2:$A$1001,0))&amp;" — "&amp;INDEX(Productos!$E$2:$E$1001,MATCH(A819,Productos!$A$2:$A$1001,0)),"SKU no existe en Productos"))</f>
        <v/>
      </c>
      <c r="C819" s="11"/>
      <c r="D819" s="11"/>
      <c r="E819" s="11"/>
      <c r="F819" s="12" t="str">
        <f aca="false">IF(A819="","",SUM(C819:E819))</f>
        <v/>
      </c>
      <c r="G819" s="16" t="str">
        <f aca="false">IF(A819="","",IFERROR(INDEX(Productos!$K$2:$K$1001,MATCH(A819,Productos!$A$2:$A$1001,0)),""))</f>
        <v/>
      </c>
      <c r="H819" s="16" t="str">
        <f aca="false">IF(OR(A819="",G819=""),"",F819*G819)</f>
        <v/>
      </c>
    </row>
    <row r="820" customFormat="false" ht="15" hidden="false" customHeight="false" outlineLevel="0" collapsed="false">
      <c r="A820" s="11"/>
      <c r="B820" s="12" t="str">
        <f aca="false">IF(A820="","",IFERROR(INDEX(Productos!$D$2:$D$1001,MATCH(A820,Productos!$A$2:$A$1001,0))&amp;" — "&amp;INDEX(Productos!$E$2:$E$1001,MATCH(A820,Productos!$A$2:$A$1001,0)),"SKU no existe en Productos"))</f>
        <v/>
      </c>
      <c r="C820" s="11"/>
      <c r="D820" s="11"/>
      <c r="E820" s="11"/>
      <c r="F820" s="12" t="str">
        <f aca="false">IF(A820="","",SUM(C820:E820))</f>
        <v/>
      </c>
      <c r="G820" s="16" t="str">
        <f aca="false">IF(A820="","",IFERROR(INDEX(Productos!$K$2:$K$1001,MATCH(A820,Productos!$A$2:$A$1001,0)),""))</f>
        <v/>
      </c>
      <c r="H820" s="16" t="str">
        <f aca="false">IF(OR(A820="",G820=""),"",F820*G820)</f>
        <v/>
      </c>
    </row>
    <row r="821" customFormat="false" ht="15" hidden="false" customHeight="false" outlineLevel="0" collapsed="false">
      <c r="A821" s="11"/>
      <c r="B821" s="12" t="str">
        <f aca="false">IF(A821="","",IFERROR(INDEX(Productos!$D$2:$D$1001,MATCH(A821,Productos!$A$2:$A$1001,0))&amp;" — "&amp;INDEX(Productos!$E$2:$E$1001,MATCH(A821,Productos!$A$2:$A$1001,0)),"SKU no existe en Productos"))</f>
        <v/>
      </c>
      <c r="C821" s="11"/>
      <c r="D821" s="11"/>
      <c r="E821" s="11"/>
      <c r="F821" s="12" t="str">
        <f aca="false">IF(A821="","",SUM(C821:E821))</f>
        <v/>
      </c>
      <c r="G821" s="16" t="str">
        <f aca="false">IF(A821="","",IFERROR(INDEX(Productos!$K$2:$K$1001,MATCH(A821,Productos!$A$2:$A$1001,0)),""))</f>
        <v/>
      </c>
      <c r="H821" s="16" t="str">
        <f aca="false">IF(OR(A821="",G821=""),"",F821*G821)</f>
        <v/>
      </c>
    </row>
    <row r="822" customFormat="false" ht="15" hidden="false" customHeight="false" outlineLevel="0" collapsed="false">
      <c r="A822" s="11"/>
      <c r="B822" s="12" t="str">
        <f aca="false">IF(A822="","",IFERROR(INDEX(Productos!$D$2:$D$1001,MATCH(A822,Productos!$A$2:$A$1001,0))&amp;" — "&amp;INDEX(Productos!$E$2:$E$1001,MATCH(A822,Productos!$A$2:$A$1001,0)),"SKU no existe en Productos"))</f>
        <v/>
      </c>
      <c r="C822" s="11"/>
      <c r="D822" s="11"/>
      <c r="E822" s="11"/>
      <c r="F822" s="12" t="str">
        <f aca="false">IF(A822="","",SUM(C822:E822))</f>
        <v/>
      </c>
      <c r="G822" s="16" t="str">
        <f aca="false">IF(A822="","",IFERROR(INDEX(Productos!$K$2:$K$1001,MATCH(A822,Productos!$A$2:$A$1001,0)),""))</f>
        <v/>
      </c>
      <c r="H822" s="16" t="str">
        <f aca="false">IF(OR(A822="",G822=""),"",F822*G822)</f>
        <v/>
      </c>
    </row>
    <row r="823" customFormat="false" ht="15" hidden="false" customHeight="false" outlineLevel="0" collapsed="false">
      <c r="A823" s="11"/>
      <c r="B823" s="12" t="str">
        <f aca="false">IF(A823="","",IFERROR(INDEX(Productos!$D$2:$D$1001,MATCH(A823,Productos!$A$2:$A$1001,0))&amp;" — "&amp;INDEX(Productos!$E$2:$E$1001,MATCH(A823,Productos!$A$2:$A$1001,0)),"SKU no existe en Productos"))</f>
        <v/>
      </c>
      <c r="C823" s="11"/>
      <c r="D823" s="11"/>
      <c r="E823" s="11"/>
      <c r="F823" s="12" t="str">
        <f aca="false">IF(A823="","",SUM(C823:E823))</f>
        <v/>
      </c>
      <c r="G823" s="16" t="str">
        <f aca="false">IF(A823="","",IFERROR(INDEX(Productos!$K$2:$K$1001,MATCH(A823,Productos!$A$2:$A$1001,0)),""))</f>
        <v/>
      </c>
      <c r="H823" s="16" t="str">
        <f aca="false">IF(OR(A823="",G823=""),"",F823*G823)</f>
        <v/>
      </c>
    </row>
    <row r="824" customFormat="false" ht="15" hidden="false" customHeight="false" outlineLevel="0" collapsed="false">
      <c r="A824" s="11"/>
      <c r="B824" s="12" t="str">
        <f aca="false">IF(A824="","",IFERROR(INDEX(Productos!$D$2:$D$1001,MATCH(A824,Productos!$A$2:$A$1001,0))&amp;" — "&amp;INDEX(Productos!$E$2:$E$1001,MATCH(A824,Productos!$A$2:$A$1001,0)),"SKU no existe en Productos"))</f>
        <v/>
      </c>
      <c r="C824" s="11"/>
      <c r="D824" s="11"/>
      <c r="E824" s="11"/>
      <c r="F824" s="12" t="str">
        <f aca="false">IF(A824="","",SUM(C824:E824))</f>
        <v/>
      </c>
      <c r="G824" s="16" t="str">
        <f aca="false">IF(A824="","",IFERROR(INDEX(Productos!$K$2:$K$1001,MATCH(A824,Productos!$A$2:$A$1001,0)),""))</f>
        <v/>
      </c>
      <c r="H824" s="16" t="str">
        <f aca="false">IF(OR(A824="",G824=""),"",F824*G824)</f>
        <v/>
      </c>
    </row>
    <row r="825" customFormat="false" ht="15" hidden="false" customHeight="false" outlineLevel="0" collapsed="false">
      <c r="A825" s="11"/>
      <c r="B825" s="12" t="str">
        <f aca="false">IF(A825="","",IFERROR(INDEX(Productos!$D$2:$D$1001,MATCH(A825,Productos!$A$2:$A$1001,0))&amp;" — "&amp;INDEX(Productos!$E$2:$E$1001,MATCH(A825,Productos!$A$2:$A$1001,0)),"SKU no existe en Productos"))</f>
        <v/>
      </c>
      <c r="C825" s="11"/>
      <c r="D825" s="11"/>
      <c r="E825" s="11"/>
      <c r="F825" s="12" t="str">
        <f aca="false">IF(A825="","",SUM(C825:E825))</f>
        <v/>
      </c>
      <c r="G825" s="16" t="str">
        <f aca="false">IF(A825="","",IFERROR(INDEX(Productos!$K$2:$K$1001,MATCH(A825,Productos!$A$2:$A$1001,0)),""))</f>
        <v/>
      </c>
      <c r="H825" s="16" t="str">
        <f aca="false">IF(OR(A825="",G825=""),"",F825*G825)</f>
        <v/>
      </c>
    </row>
    <row r="826" customFormat="false" ht="15" hidden="false" customHeight="false" outlineLevel="0" collapsed="false">
      <c r="A826" s="11"/>
      <c r="B826" s="12" t="str">
        <f aca="false">IF(A826="","",IFERROR(INDEX(Productos!$D$2:$D$1001,MATCH(A826,Productos!$A$2:$A$1001,0))&amp;" — "&amp;INDEX(Productos!$E$2:$E$1001,MATCH(A826,Productos!$A$2:$A$1001,0)),"SKU no existe en Productos"))</f>
        <v/>
      </c>
      <c r="C826" s="11"/>
      <c r="D826" s="11"/>
      <c r="E826" s="11"/>
      <c r="F826" s="12" t="str">
        <f aca="false">IF(A826="","",SUM(C826:E826))</f>
        <v/>
      </c>
      <c r="G826" s="16" t="str">
        <f aca="false">IF(A826="","",IFERROR(INDEX(Productos!$K$2:$K$1001,MATCH(A826,Productos!$A$2:$A$1001,0)),""))</f>
        <v/>
      </c>
      <c r="H826" s="16" t="str">
        <f aca="false">IF(OR(A826="",G826=""),"",F826*G826)</f>
        <v/>
      </c>
    </row>
    <row r="827" customFormat="false" ht="15" hidden="false" customHeight="false" outlineLevel="0" collapsed="false">
      <c r="A827" s="11"/>
      <c r="B827" s="12" t="str">
        <f aca="false">IF(A827="","",IFERROR(INDEX(Productos!$D$2:$D$1001,MATCH(A827,Productos!$A$2:$A$1001,0))&amp;" — "&amp;INDEX(Productos!$E$2:$E$1001,MATCH(A827,Productos!$A$2:$A$1001,0)),"SKU no existe en Productos"))</f>
        <v/>
      </c>
      <c r="C827" s="11"/>
      <c r="D827" s="11"/>
      <c r="E827" s="11"/>
      <c r="F827" s="12" t="str">
        <f aca="false">IF(A827="","",SUM(C827:E827))</f>
        <v/>
      </c>
      <c r="G827" s="16" t="str">
        <f aca="false">IF(A827="","",IFERROR(INDEX(Productos!$K$2:$K$1001,MATCH(A827,Productos!$A$2:$A$1001,0)),""))</f>
        <v/>
      </c>
      <c r="H827" s="16" t="str">
        <f aca="false">IF(OR(A827="",G827=""),"",F827*G827)</f>
        <v/>
      </c>
    </row>
    <row r="828" customFormat="false" ht="15" hidden="false" customHeight="false" outlineLevel="0" collapsed="false">
      <c r="A828" s="11"/>
      <c r="B828" s="12" t="str">
        <f aca="false">IF(A828="","",IFERROR(INDEX(Productos!$D$2:$D$1001,MATCH(A828,Productos!$A$2:$A$1001,0))&amp;" — "&amp;INDEX(Productos!$E$2:$E$1001,MATCH(A828,Productos!$A$2:$A$1001,0)),"SKU no existe en Productos"))</f>
        <v/>
      </c>
      <c r="C828" s="11"/>
      <c r="D828" s="11"/>
      <c r="E828" s="11"/>
      <c r="F828" s="12" t="str">
        <f aca="false">IF(A828="","",SUM(C828:E828))</f>
        <v/>
      </c>
      <c r="G828" s="16" t="str">
        <f aca="false">IF(A828="","",IFERROR(INDEX(Productos!$K$2:$K$1001,MATCH(A828,Productos!$A$2:$A$1001,0)),""))</f>
        <v/>
      </c>
      <c r="H828" s="16" t="str">
        <f aca="false">IF(OR(A828="",G828=""),"",F828*G828)</f>
        <v/>
      </c>
    </row>
    <row r="829" customFormat="false" ht="15" hidden="false" customHeight="false" outlineLevel="0" collapsed="false">
      <c r="A829" s="11"/>
      <c r="B829" s="12" t="str">
        <f aca="false">IF(A829="","",IFERROR(INDEX(Productos!$D$2:$D$1001,MATCH(A829,Productos!$A$2:$A$1001,0))&amp;" — "&amp;INDEX(Productos!$E$2:$E$1001,MATCH(A829,Productos!$A$2:$A$1001,0)),"SKU no existe en Productos"))</f>
        <v/>
      </c>
      <c r="C829" s="11"/>
      <c r="D829" s="11"/>
      <c r="E829" s="11"/>
      <c r="F829" s="12" t="str">
        <f aca="false">IF(A829="","",SUM(C829:E829))</f>
        <v/>
      </c>
      <c r="G829" s="16" t="str">
        <f aca="false">IF(A829="","",IFERROR(INDEX(Productos!$K$2:$K$1001,MATCH(A829,Productos!$A$2:$A$1001,0)),""))</f>
        <v/>
      </c>
      <c r="H829" s="16" t="str">
        <f aca="false">IF(OR(A829="",G829=""),"",F829*G829)</f>
        <v/>
      </c>
    </row>
    <row r="830" customFormat="false" ht="15" hidden="false" customHeight="false" outlineLevel="0" collapsed="false">
      <c r="A830" s="11"/>
      <c r="B830" s="12" t="str">
        <f aca="false">IF(A830="","",IFERROR(INDEX(Productos!$D$2:$D$1001,MATCH(A830,Productos!$A$2:$A$1001,0))&amp;" — "&amp;INDEX(Productos!$E$2:$E$1001,MATCH(A830,Productos!$A$2:$A$1001,0)),"SKU no existe en Productos"))</f>
        <v/>
      </c>
      <c r="C830" s="11"/>
      <c r="D830" s="11"/>
      <c r="E830" s="11"/>
      <c r="F830" s="12" t="str">
        <f aca="false">IF(A830="","",SUM(C830:E830))</f>
        <v/>
      </c>
      <c r="G830" s="16" t="str">
        <f aca="false">IF(A830="","",IFERROR(INDEX(Productos!$K$2:$K$1001,MATCH(A830,Productos!$A$2:$A$1001,0)),""))</f>
        <v/>
      </c>
      <c r="H830" s="16" t="str">
        <f aca="false">IF(OR(A830="",G830=""),"",F830*G830)</f>
        <v/>
      </c>
    </row>
    <row r="831" customFormat="false" ht="15" hidden="false" customHeight="false" outlineLevel="0" collapsed="false">
      <c r="A831" s="11"/>
      <c r="B831" s="12" t="str">
        <f aca="false">IF(A831="","",IFERROR(INDEX(Productos!$D$2:$D$1001,MATCH(A831,Productos!$A$2:$A$1001,0))&amp;" — "&amp;INDEX(Productos!$E$2:$E$1001,MATCH(A831,Productos!$A$2:$A$1001,0)),"SKU no existe en Productos"))</f>
        <v/>
      </c>
      <c r="C831" s="11"/>
      <c r="D831" s="11"/>
      <c r="E831" s="11"/>
      <c r="F831" s="12" t="str">
        <f aca="false">IF(A831="","",SUM(C831:E831))</f>
        <v/>
      </c>
      <c r="G831" s="16" t="str">
        <f aca="false">IF(A831="","",IFERROR(INDEX(Productos!$K$2:$K$1001,MATCH(A831,Productos!$A$2:$A$1001,0)),""))</f>
        <v/>
      </c>
      <c r="H831" s="16" t="str">
        <f aca="false">IF(OR(A831="",G831=""),"",F831*G831)</f>
        <v/>
      </c>
    </row>
    <row r="832" customFormat="false" ht="15" hidden="false" customHeight="false" outlineLevel="0" collapsed="false">
      <c r="A832" s="11"/>
      <c r="B832" s="12" t="str">
        <f aca="false">IF(A832="","",IFERROR(INDEX(Productos!$D$2:$D$1001,MATCH(A832,Productos!$A$2:$A$1001,0))&amp;" — "&amp;INDEX(Productos!$E$2:$E$1001,MATCH(A832,Productos!$A$2:$A$1001,0)),"SKU no existe en Productos"))</f>
        <v/>
      </c>
      <c r="C832" s="11"/>
      <c r="D832" s="11"/>
      <c r="E832" s="11"/>
      <c r="F832" s="12" t="str">
        <f aca="false">IF(A832="","",SUM(C832:E832))</f>
        <v/>
      </c>
      <c r="G832" s="16" t="str">
        <f aca="false">IF(A832="","",IFERROR(INDEX(Productos!$K$2:$K$1001,MATCH(A832,Productos!$A$2:$A$1001,0)),""))</f>
        <v/>
      </c>
      <c r="H832" s="16" t="str">
        <f aca="false">IF(OR(A832="",G832=""),"",F832*G832)</f>
        <v/>
      </c>
    </row>
    <row r="833" customFormat="false" ht="15" hidden="false" customHeight="false" outlineLevel="0" collapsed="false">
      <c r="A833" s="11"/>
      <c r="B833" s="12" t="str">
        <f aca="false">IF(A833="","",IFERROR(INDEX(Productos!$D$2:$D$1001,MATCH(A833,Productos!$A$2:$A$1001,0))&amp;" — "&amp;INDEX(Productos!$E$2:$E$1001,MATCH(A833,Productos!$A$2:$A$1001,0)),"SKU no existe en Productos"))</f>
        <v/>
      </c>
      <c r="C833" s="11"/>
      <c r="D833" s="11"/>
      <c r="E833" s="11"/>
      <c r="F833" s="12" t="str">
        <f aca="false">IF(A833="","",SUM(C833:E833))</f>
        <v/>
      </c>
      <c r="G833" s="16" t="str">
        <f aca="false">IF(A833="","",IFERROR(INDEX(Productos!$K$2:$K$1001,MATCH(A833,Productos!$A$2:$A$1001,0)),""))</f>
        <v/>
      </c>
      <c r="H833" s="16" t="str">
        <f aca="false">IF(OR(A833="",G833=""),"",F833*G833)</f>
        <v/>
      </c>
    </row>
    <row r="834" customFormat="false" ht="15" hidden="false" customHeight="false" outlineLevel="0" collapsed="false">
      <c r="A834" s="11"/>
      <c r="B834" s="12" t="str">
        <f aca="false">IF(A834="","",IFERROR(INDEX(Productos!$D$2:$D$1001,MATCH(A834,Productos!$A$2:$A$1001,0))&amp;" — "&amp;INDEX(Productos!$E$2:$E$1001,MATCH(A834,Productos!$A$2:$A$1001,0)),"SKU no existe en Productos"))</f>
        <v/>
      </c>
      <c r="C834" s="11"/>
      <c r="D834" s="11"/>
      <c r="E834" s="11"/>
      <c r="F834" s="12" t="str">
        <f aca="false">IF(A834="","",SUM(C834:E834))</f>
        <v/>
      </c>
      <c r="G834" s="16" t="str">
        <f aca="false">IF(A834="","",IFERROR(INDEX(Productos!$K$2:$K$1001,MATCH(A834,Productos!$A$2:$A$1001,0)),""))</f>
        <v/>
      </c>
      <c r="H834" s="16" t="str">
        <f aca="false">IF(OR(A834="",G834=""),"",F834*G834)</f>
        <v/>
      </c>
    </row>
    <row r="835" customFormat="false" ht="15" hidden="false" customHeight="false" outlineLevel="0" collapsed="false">
      <c r="A835" s="11"/>
      <c r="B835" s="12" t="str">
        <f aca="false">IF(A835="","",IFERROR(INDEX(Productos!$D$2:$D$1001,MATCH(A835,Productos!$A$2:$A$1001,0))&amp;" — "&amp;INDEX(Productos!$E$2:$E$1001,MATCH(A835,Productos!$A$2:$A$1001,0)),"SKU no existe en Productos"))</f>
        <v/>
      </c>
      <c r="C835" s="11"/>
      <c r="D835" s="11"/>
      <c r="E835" s="11"/>
      <c r="F835" s="12" t="str">
        <f aca="false">IF(A835="","",SUM(C835:E835))</f>
        <v/>
      </c>
      <c r="G835" s="16" t="str">
        <f aca="false">IF(A835="","",IFERROR(INDEX(Productos!$K$2:$K$1001,MATCH(A835,Productos!$A$2:$A$1001,0)),""))</f>
        <v/>
      </c>
      <c r="H835" s="16" t="str">
        <f aca="false">IF(OR(A835="",G835=""),"",F835*G835)</f>
        <v/>
      </c>
    </row>
    <row r="836" customFormat="false" ht="15" hidden="false" customHeight="false" outlineLevel="0" collapsed="false">
      <c r="A836" s="11"/>
      <c r="B836" s="12" t="str">
        <f aca="false">IF(A836="","",IFERROR(INDEX(Productos!$D$2:$D$1001,MATCH(A836,Productos!$A$2:$A$1001,0))&amp;" — "&amp;INDEX(Productos!$E$2:$E$1001,MATCH(A836,Productos!$A$2:$A$1001,0)),"SKU no existe en Productos"))</f>
        <v/>
      </c>
      <c r="C836" s="11"/>
      <c r="D836" s="11"/>
      <c r="E836" s="11"/>
      <c r="F836" s="12" t="str">
        <f aca="false">IF(A836="","",SUM(C836:E836))</f>
        <v/>
      </c>
      <c r="G836" s="16" t="str">
        <f aca="false">IF(A836="","",IFERROR(INDEX(Productos!$K$2:$K$1001,MATCH(A836,Productos!$A$2:$A$1001,0)),""))</f>
        <v/>
      </c>
      <c r="H836" s="16" t="str">
        <f aca="false">IF(OR(A836="",G836=""),"",F836*G836)</f>
        <v/>
      </c>
    </row>
    <row r="837" customFormat="false" ht="15" hidden="false" customHeight="false" outlineLevel="0" collapsed="false">
      <c r="A837" s="11"/>
      <c r="B837" s="12" t="str">
        <f aca="false">IF(A837="","",IFERROR(INDEX(Productos!$D$2:$D$1001,MATCH(A837,Productos!$A$2:$A$1001,0))&amp;" — "&amp;INDEX(Productos!$E$2:$E$1001,MATCH(A837,Productos!$A$2:$A$1001,0)),"SKU no existe en Productos"))</f>
        <v/>
      </c>
      <c r="C837" s="11"/>
      <c r="D837" s="11"/>
      <c r="E837" s="11"/>
      <c r="F837" s="12" t="str">
        <f aca="false">IF(A837="","",SUM(C837:E837))</f>
        <v/>
      </c>
      <c r="G837" s="16" t="str">
        <f aca="false">IF(A837="","",IFERROR(INDEX(Productos!$K$2:$K$1001,MATCH(A837,Productos!$A$2:$A$1001,0)),""))</f>
        <v/>
      </c>
      <c r="H837" s="16" t="str">
        <f aca="false">IF(OR(A837="",G837=""),"",F837*G837)</f>
        <v/>
      </c>
    </row>
    <row r="838" customFormat="false" ht="15" hidden="false" customHeight="false" outlineLevel="0" collapsed="false">
      <c r="A838" s="11"/>
      <c r="B838" s="12" t="str">
        <f aca="false">IF(A838="","",IFERROR(INDEX(Productos!$D$2:$D$1001,MATCH(A838,Productos!$A$2:$A$1001,0))&amp;" — "&amp;INDEX(Productos!$E$2:$E$1001,MATCH(A838,Productos!$A$2:$A$1001,0)),"SKU no existe en Productos"))</f>
        <v/>
      </c>
      <c r="C838" s="11"/>
      <c r="D838" s="11"/>
      <c r="E838" s="11"/>
      <c r="F838" s="12" t="str">
        <f aca="false">IF(A838="","",SUM(C838:E838))</f>
        <v/>
      </c>
      <c r="G838" s="16" t="str">
        <f aca="false">IF(A838="","",IFERROR(INDEX(Productos!$K$2:$K$1001,MATCH(A838,Productos!$A$2:$A$1001,0)),""))</f>
        <v/>
      </c>
      <c r="H838" s="16" t="str">
        <f aca="false">IF(OR(A838="",G838=""),"",F838*G838)</f>
        <v/>
      </c>
    </row>
    <row r="839" customFormat="false" ht="15" hidden="false" customHeight="false" outlineLevel="0" collapsed="false">
      <c r="A839" s="11"/>
      <c r="B839" s="12" t="str">
        <f aca="false">IF(A839="","",IFERROR(INDEX(Productos!$D$2:$D$1001,MATCH(A839,Productos!$A$2:$A$1001,0))&amp;" — "&amp;INDEX(Productos!$E$2:$E$1001,MATCH(A839,Productos!$A$2:$A$1001,0)),"SKU no existe en Productos"))</f>
        <v/>
      </c>
      <c r="C839" s="11"/>
      <c r="D839" s="11"/>
      <c r="E839" s="11"/>
      <c r="F839" s="12" t="str">
        <f aca="false">IF(A839="","",SUM(C839:E839))</f>
        <v/>
      </c>
      <c r="G839" s="16" t="str">
        <f aca="false">IF(A839="","",IFERROR(INDEX(Productos!$K$2:$K$1001,MATCH(A839,Productos!$A$2:$A$1001,0)),""))</f>
        <v/>
      </c>
      <c r="H839" s="16" t="str">
        <f aca="false">IF(OR(A839="",G839=""),"",F839*G839)</f>
        <v/>
      </c>
    </row>
    <row r="840" customFormat="false" ht="15" hidden="false" customHeight="false" outlineLevel="0" collapsed="false">
      <c r="A840" s="11"/>
      <c r="B840" s="12" t="str">
        <f aca="false">IF(A840="","",IFERROR(INDEX(Productos!$D$2:$D$1001,MATCH(A840,Productos!$A$2:$A$1001,0))&amp;" — "&amp;INDEX(Productos!$E$2:$E$1001,MATCH(A840,Productos!$A$2:$A$1001,0)),"SKU no existe en Productos"))</f>
        <v/>
      </c>
      <c r="C840" s="11"/>
      <c r="D840" s="11"/>
      <c r="E840" s="11"/>
      <c r="F840" s="12" t="str">
        <f aca="false">IF(A840="","",SUM(C840:E840))</f>
        <v/>
      </c>
      <c r="G840" s="16" t="str">
        <f aca="false">IF(A840="","",IFERROR(INDEX(Productos!$K$2:$K$1001,MATCH(A840,Productos!$A$2:$A$1001,0)),""))</f>
        <v/>
      </c>
      <c r="H840" s="16" t="str">
        <f aca="false">IF(OR(A840="",G840=""),"",F840*G840)</f>
        <v/>
      </c>
    </row>
    <row r="841" customFormat="false" ht="15" hidden="false" customHeight="false" outlineLevel="0" collapsed="false">
      <c r="A841" s="11"/>
      <c r="B841" s="12" t="str">
        <f aca="false">IF(A841="","",IFERROR(INDEX(Productos!$D$2:$D$1001,MATCH(A841,Productos!$A$2:$A$1001,0))&amp;" — "&amp;INDEX(Productos!$E$2:$E$1001,MATCH(A841,Productos!$A$2:$A$1001,0)),"SKU no existe en Productos"))</f>
        <v/>
      </c>
      <c r="C841" s="11"/>
      <c r="D841" s="11"/>
      <c r="E841" s="11"/>
      <c r="F841" s="12" t="str">
        <f aca="false">IF(A841="","",SUM(C841:E841))</f>
        <v/>
      </c>
      <c r="G841" s="16" t="str">
        <f aca="false">IF(A841="","",IFERROR(INDEX(Productos!$K$2:$K$1001,MATCH(A841,Productos!$A$2:$A$1001,0)),""))</f>
        <v/>
      </c>
      <c r="H841" s="16" t="str">
        <f aca="false">IF(OR(A841="",G841=""),"",F841*G841)</f>
        <v/>
      </c>
    </row>
    <row r="842" customFormat="false" ht="15" hidden="false" customHeight="false" outlineLevel="0" collapsed="false">
      <c r="A842" s="11"/>
      <c r="B842" s="12" t="str">
        <f aca="false">IF(A842="","",IFERROR(INDEX(Productos!$D$2:$D$1001,MATCH(A842,Productos!$A$2:$A$1001,0))&amp;" — "&amp;INDEX(Productos!$E$2:$E$1001,MATCH(A842,Productos!$A$2:$A$1001,0)),"SKU no existe en Productos"))</f>
        <v/>
      </c>
      <c r="C842" s="11"/>
      <c r="D842" s="11"/>
      <c r="E842" s="11"/>
      <c r="F842" s="12" t="str">
        <f aca="false">IF(A842="","",SUM(C842:E842))</f>
        <v/>
      </c>
      <c r="G842" s="16" t="str">
        <f aca="false">IF(A842="","",IFERROR(INDEX(Productos!$K$2:$K$1001,MATCH(A842,Productos!$A$2:$A$1001,0)),""))</f>
        <v/>
      </c>
      <c r="H842" s="16" t="str">
        <f aca="false">IF(OR(A842="",G842=""),"",F842*G842)</f>
        <v/>
      </c>
    </row>
    <row r="843" customFormat="false" ht="15" hidden="false" customHeight="false" outlineLevel="0" collapsed="false">
      <c r="A843" s="11"/>
      <c r="B843" s="12" t="str">
        <f aca="false">IF(A843="","",IFERROR(INDEX(Productos!$D$2:$D$1001,MATCH(A843,Productos!$A$2:$A$1001,0))&amp;" — "&amp;INDEX(Productos!$E$2:$E$1001,MATCH(A843,Productos!$A$2:$A$1001,0)),"SKU no existe en Productos"))</f>
        <v/>
      </c>
      <c r="C843" s="11"/>
      <c r="D843" s="11"/>
      <c r="E843" s="11"/>
      <c r="F843" s="12" t="str">
        <f aca="false">IF(A843="","",SUM(C843:E843))</f>
        <v/>
      </c>
      <c r="G843" s="16" t="str">
        <f aca="false">IF(A843="","",IFERROR(INDEX(Productos!$K$2:$K$1001,MATCH(A843,Productos!$A$2:$A$1001,0)),""))</f>
        <v/>
      </c>
      <c r="H843" s="16" t="str">
        <f aca="false">IF(OR(A843="",G843=""),"",F843*G843)</f>
        <v/>
      </c>
    </row>
    <row r="844" customFormat="false" ht="15" hidden="false" customHeight="false" outlineLevel="0" collapsed="false">
      <c r="A844" s="11"/>
      <c r="B844" s="12" t="str">
        <f aca="false">IF(A844="","",IFERROR(INDEX(Productos!$D$2:$D$1001,MATCH(A844,Productos!$A$2:$A$1001,0))&amp;" — "&amp;INDEX(Productos!$E$2:$E$1001,MATCH(A844,Productos!$A$2:$A$1001,0)),"SKU no existe en Productos"))</f>
        <v/>
      </c>
      <c r="C844" s="11"/>
      <c r="D844" s="11"/>
      <c r="E844" s="11"/>
      <c r="F844" s="12" t="str">
        <f aca="false">IF(A844="","",SUM(C844:E844))</f>
        <v/>
      </c>
      <c r="G844" s="16" t="str">
        <f aca="false">IF(A844="","",IFERROR(INDEX(Productos!$K$2:$K$1001,MATCH(A844,Productos!$A$2:$A$1001,0)),""))</f>
        <v/>
      </c>
      <c r="H844" s="16" t="str">
        <f aca="false">IF(OR(A844="",G844=""),"",F844*G844)</f>
        <v/>
      </c>
    </row>
    <row r="845" customFormat="false" ht="15" hidden="false" customHeight="false" outlineLevel="0" collapsed="false">
      <c r="A845" s="11"/>
      <c r="B845" s="12" t="str">
        <f aca="false">IF(A845="","",IFERROR(INDEX(Productos!$D$2:$D$1001,MATCH(A845,Productos!$A$2:$A$1001,0))&amp;" — "&amp;INDEX(Productos!$E$2:$E$1001,MATCH(A845,Productos!$A$2:$A$1001,0)),"SKU no existe en Productos"))</f>
        <v/>
      </c>
      <c r="C845" s="11"/>
      <c r="D845" s="11"/>
      <c r="E845" s="11"/>
      <c r="F845" s="12" t="str">
        <f aca="false">IF(A845="","",SUM(C845:E845))</f>
        <v/>
      </c>
      <c r="G845" s="16" t="str">
        <f aca="false">IF(A845="","",IFERROR(INDEX(Productos!$K$2:$K$1001,MATCH(A845,Productos!$A$2:$A$1001,0)),""))</f>
        <v/>
      </c>
      <c r="H845" s="16" t="str">
        <f aca="false">IF(OR(A845="",G845=""),"",F845*G845)</f>
        <v/>
      </c>
    </row>
    <row r="846" customFormat="false" ht="15" hidden="false" customHeight="false" outlineLevel="0" collapsed="false">
      <c r="A846" s="11"/>
      <c r="B846" s="12" t="str">
        <f aca="false">IF(A846="","",IFERROR(INDEX(Productos!$D$2:$D$1001,MATCH(A846,Productos!$A$2:$A$1001,0))&amp;" — "&amp;INDEX(Productos!$E$2:$E$1001,MATCH(A846,Productos!$A$2:$A$1001,0)),"SKU no existe en Productos"))</f>
        <v/>
      </c>
      <c r="C846" s="11"/>
      <c r="D846" s="11"/>
      <c r="E846" s="11"/>
      <c r="F846" s="12" t="str">
        <f aca="false">IF(A846="","",SUM(C846:E846))</f>
        <v/>
      </c>
      <c r="G846" s="16" t="str">
        <f aca="false">IF(A846="","",IFERROR(INDEX(Productos!$K$2:$K$1001,MATCH(A846,Productos!$A$2:$A$1001,0)),""))</f>
        <v/>
      </c>
      <c r="H846" s="16" t="str">
        <f aca="false">IF(OR(A846="",G846=""),"",F846*G846)</f>
        <v/>
      </c>
    </row>
    <row r="847" customFormat="false" ht="15" hidden="false" customHeight="false" outlineLevel="0" collapsed="false">
      <c r="A847" s="11"/>
      <c r="B847" s="12" t="str">
        <f aca="false">IF(A847="","",IFERROR(INDEX(Productos!$D$2:$D$1001,MATCH(A847,Productos!$A$2:$A$1001,0))&amp;" — "&amp;INDEX(Productos!$E$2:$E$1001,MATCH(A847,Productos!$A$2:$A$1001,0)),"SKU no existe en Productos"))</f>
        <v/>
      </c>
      <c r="C847" s="11"/>
      <c r="D847" s="11"/>
      <c r="E847" s="11"/>
      <c r="F847" s="12" t="str">
        <f aca="false">IF(A847="","",SUM(C847:E847))</f>
        <v/>
      </c>
      <c r="G847" s="16" t="str">
        <f aca="false">IF(A847="","",IFERROR(INDEX(Productos!$K$2:$K$1001,MATCH(A847,Productos!$A$2:$A$1001,0)),""))</f>
        <v/>
      </c>
      <c r="H847" s="16" t="str">
        <f aca="false">IF(OR(A847="",G847=""),"",F847*G847)</f>
        <v/>
      </c>
    </row>
    <row r="848" customFormat="false" ht="15" hidden="false" customHeight="false" outlineLevel="0" collapsed="false">
      <c r="A848" s="11"/>
      <c r="B848" s="12" t="str">
        <f aca="false">IF(A848="","",IFERROR(INDEX(Productos!$D$2:$D$1001,MATCH(A848,Productos!$A$2:$A$1001,0))&amp;" — "&amp;INDEX(Productos!$E$2:$E$1001,MATCH(A848,Productos!$A$2:$A$1001,0)),"SKU no existe en Productos"))</f>
        <v/>
      </c>
      <c r="C848" s="11"/>
      <c r="D848" s="11"/>
      <c r="E848" s="11"/>
      <c r="F848" s="12" t="str">
        <f aca="false">IF(A848="","",SUM(C848:E848))</f>
        <v/>
      </c>
      <c r="G848" s="16" t="str">
        <f aca="false">IF(A848="","",IFERROR(INDEX(Productos!$K$2:$K$1001,MATCH(A848,Productos!$A$2:$A$1001,0)),""))</f>
        <v/>
      </c>
      <c r="H848" s="16" t="str">
        <f aca="false">IF(OR(A848="",G848=""),"",F848*G848)</f>
        <v/>
      </c>
    </row>
    <row r="849" customFormat="false" ht="15" hidden="false" customHeight="false" outlineLevel="0" collapsed="false">
      <c r="A849" s="11"/>
      <c r="B849" s="12" t="str">
        <f aca="false">IF(A849="","",IFERROR(INDEX(Productos!$D$2:$D$1001,MATCH(A849,Productos!$A$2:$A$1001,0))&amp;" — "&amp;INDEX(Productos!$E$2:$E$1001,MATCH(A849,Productos!$A$2:$A$1001,0)),"SKU no existe en Productos"))</f>
        <v/>
      </c>
      <c r="C849" s="11"/>
      <c r="D849" s="11"/>
      <c r="E849" s="11"/>
      <c r="F849" s="12" t="str">
        <f aca="false">IF(A849="","",SUM(C849:E849))</f>
        <v/>
      </c>
      <c r="G849" s="16" t="str">
        <f aca="false">IF(A849="","",IFERROR(INDEX(Productos!$K$2:$K$1001,MATCH(A849,Productos!$A$2:$A$1001,0)),""))</f>
        <v/>
      </c>
      <c r="H849" s="16" t="str">
        <f aca="false">IF(OR(A849="",G849=""),"",F849*G849)</f>
        <v/>
      </c>
    </row>
    <row r="850" customFormat="false" ht="15" hidden="false" customHeight="false" outlineLevel="0" collapsed="false">
      <c r="A850" s="11"/>
      <c r="B850" s="12" t="str">
        <f aca="false">IF(A850="","",IFERROR(INDEX(Productos!$D$2:$D$1001,MATCH(A850,Productos!$A$2:$A$1001,0))&amp;" — "&amp;INDEX(Productos!$E$2:$E$1001,MATCH(A850,Productos!$A$2:$A$1001,0)),"SKU no existe en Productos"))</f>
        <v/>
      </c>
      <c r="C850" s="11"/>
      <c r="D850" s="11"/>
      <c r="E850" s="11"/>
      <c r="F850" s="12" t="str">
        <f aca="false">IF(A850="","",SUM(C850:E850))</f>
        <v/>
      </c>
      <c r="G850" s="16" t="str">
        <f aca="false">IF(A850="","",IFERROR(INDEX(Productos!$K$2:$K$1001,MATCH(A850,Productos!$A$2:$A$1001,0)),""))</f>
        <v/>
      </c>
      <c r="H850" s="16" t="str">
        <f aca="false">IF(OR(A850="",G850=""),"",F850*G850)</f>
        <v/>
      </c>
    </row>
    <row r="851" customFormat="false" ht="15" hidden="false" customHeight="false" outlineLevel="0" collapsed="false">
      <c r="A851" s="11"/>
      <c r="B851" s="12" t="str">
        <f aca="false">IF(A851="","",IFERROR(INDEX(Productos!$D$2:$D$1001,MATCH(A851,Productos!$A$2:$A$1001,0))&amp;" — "&amp;INDEX(Productos!$E$2:$E$1001,MATCH(A851,Productos!$A$2:$A$1001,0)),"SKU no existe en Productos"))</f>
        <v/>
      </c>
      <c r="C851" s="11"/>
      <c r="D851" s="11"/>
      <c r="E851" s="11"/>
      <c r="F851" s="12" t="str">
        <f aca="false">IF(A851="","",SUM(C851:E851))</f>
        <v/>
      </c>
      <c r="G851" s="16" t="str">
        <f aca="false">IF(A851="","",IFERROR(INDEX(Productos!$K$2:$K$1001,MATCH(A851,Productos!$A$2:$A$1001,0)),""))</f>
        <v/>
      </c>
      <c r="H851" s="16" t="str">
        <f aca="false">IF(OR(A851="",G851=""),"",F851*G851)</f>
        <v/>
      </c>
    </row>
    <row r="852" customFormat="false" ht="15" hidden="false" customHeight="false" outlineLevel="0" collapsed="false">
      <c r="A852" s="11"/>
      <c r="B852" s="12" t="str">
        <f aca="false">IF(A852="","",IFERROR(INDEX(Productos!$D$2:$D$1001,MATCH(A852,Productos!$A$2:$A$1001,0))&amp;" — "&amp;INDEX(Productos!$E$2:$E$1001,MATCH(A852,Productos!$A$2:$A$1001,0)),"SKU no existe en Productos"))</f>
        <v/>
      </c>
      <c r="C852" s="11"/>
      <c r="D852" s="11"/>
      <c r="E852" s="11"/>
      <c r="F852" s="12" t="str">
        <f aca="false">IF(A852="","",SUM(C852:E852))</f>
        <v/>
      </c>
      <c r="G852" s="16" t="str">
        <f aca="false">IF(A852="","",IFERROR(INDEX(Productos!$K$2:$K$1001,MATCH(A852,Productos!$A$2:$A$1001,0)),""))</f>
        <v/>
      </c>
      <c r="H852" s="16" t="str">
        <f aca="false">IF(OR(A852="",G852=""),"",F852*G852)</f>
        <v/>
      </c>
    </row>
    <row r="853" customFormat="false" ht="15" hidden="false" customHeight="false" outlineLevel="0" collapsed="false">
      <c r="A853" s="11"/>
      <c r="B853" s="12" t="str">
        <f aca="false">IF(A853="","",IFERROR(INDEX(Productos!$D$2:$D$1001,MATCH(A853,Productos!$A$2:$A$1001,0))&amp;" — "&amp;INDEX(Productos!$E$2:$E$1001,MATCH(A853,Productos!$A$2:$A$1001,0)),"SKU no existe en Productos"))</f>
        <v/>
      </c>
      <c r="C853" s="11"/>
      <c r="D853" s="11"/>
      <c r="E853" s="11"/>
      <c r="F853" s="12" t="str">
        <f aca="false">IF(A853="","",SUM(C853:E853))</f>
        <v/>
      </c>
      <c r="G853" s="16" t="str">
        <f aca="false">IF(A853="","",IFERROR(INDEX(Productos!$K$2:$K$1001,MATCH(A853,Productos!$A$2:$A$1001,0)),""))</f>
        <v/>
      </c>
      <c r="H853" s="16" t="str">
        <f aca="false">IF(OR(A853="",G853=""),"",F853*G853)</f>
        <v/>
      </c>
    </row>
    <row r="854" customFormat="false" ht="15" hidden="false" customHeight="false" outlineLevel="0" collapsed="false">
      <c r="A854" s="11"/>
      <c r="B854" s="12" t="str">
        <f aca="false">IF(A854="","",IFERROR(INDEX(Productos!$D$2:$D$1001,MATCH(A854,Productos!$A$2:$A$1001,0))&amp;" — "&amp;INDEX(Productos!$E$2:$E$1001,MATCH(A854,Productos!$A$2:$A$1001,0)),"SKU no existe en Productos"))</f>
        <v/>
      </c>
      <c r="C854" s="11"/>
      <c r="D854" s="11"/>
      <c r="E854" s="11"/>
      <c r="F854" s="12" t="str">
        <f aca="false">IF(A854="","",SUM(C854:E854))</f>
        <v/>
      </c>
      <c r="G854" s="16" t="str">
        <f aca="false">IF(A854="","",IFERROR(INDEX(Productos!$K$2:$K$1001,MATCH(A854,Productos!$A$2:$A$1001,0)),""))</f>
        <v/>
      </c>
      <c r="H854" s="16" t="str">
        <f aca="false">IF(OR(A854="",G854=""),"",F854*G854)</f>
        <v/>
      </c>
    </row>
    <row r="855" customFormat="false" ht="15" hidden="false" customHeight="false" outlineLevel="0" collapsed="false">
      <c r="A855" s="11"/>
      <c r="B855" s="12" t="str">
        <f aca="false">IF(A855="","",IFERROR(INDEX(Productos!$D$2:$D$1001,MATCH(A855,Productos!$A$2:$A$1001,0))&amp;" — "&amp;INDEX(Productos!$E$2:$E$1001,MATCH(A855,Productos!$A$2:$A$1001,0)),"SKU no existe en Productos"))</f>
        <v/>
      </c>
      <c r="C855" s="11"/>
      <c r="D855" s="11"/>
      <c r="E855" s="11"/>
      <c r="F855" s="12" t="str">
        <f aca="false">IF(A855="","",SUM(C855:E855))</f>
        <v/>
      </c>
      <c r="G855" s="16" t="str">
        <f aca="false">IF(A855="","",IFERROR(INDEX(Productos!$K$2:$K$1001,MATCH(A855,Productos!$A$2:$A$1001,0)),""))</f>
        <v/>
      </c>
      <c r="H855" s="16" t="str">
        <f aca="false">IF(OR(A855="",G855=""),"",F855*G855)</f>
        <v/>
      </c>
    </row>
    <row r="856" customFormat="false" ht="15" hidden="false" customHeight="false" outlineLevel="0" collapsed="false">
      <c r="A856" s="11"/>
      <c r="B856" s="12" t="str">
        <f aca="false">IF(A856="","",IFERROR(INDEX(Productos!$D$2:$D$1001,MATCH(A856,Productos!$A$2:$A$1001,0))&amp;" — "&amp;INDEX(Productos!$E$2:$E$1001,MATCH(A856,Productos!$A$2:$A$1001,0)),"SKU no existe en Productos"))</f>
        <v/>
      </c>
      <c r="C856" s="11"/>
      <c r="D856" s="11"/>
      <c r="E856" s="11"/>
      <c r="F856" s="12" t="str">
        <f aca="false">IF(A856="","",SUM(C856:E856))</f>
        <v/>
      </c>
      <c r="G856" s="16" t="str">
        <f aca="false">IF(A856="","",IFERROR(INDEX(Productos!$K$2:$K$1001,MATCH(A856,Productos!$A$2:$A$1001,0)),""))</f>
        <v/>
      </c>
      <c r="H856" s="16" t="str">
        <f aca="false">IF(OR(A856="",G856=""),"",F856*G856)</f>
        <v/>
      </c>
    </row>
    <row r="857" customFormat="false" ht="15" hidden="false" customHeight="false" outlineLevel="0" collapsed="false">
      <c r="A857" s="11"/>
      <c r="B857" s="12" t="str">
        <f aca="false">IF(A857="","",IFERROR(INDEX(Productos!$D$2:$D$1001,MATCH(A857,Productos!$A$2:$A$1001,0))&amp;" — "&amp;INDEX(Productos!$E$2:$E$1001,MATCH(A857,Productos!$A$2:$A$1001,0)),"SKU no existe en Productos"))</f>
        <v/>
      </c>
      <c r="C857" s="11"/>
      <c r="D857" s="11"/>
      <c r="E857" s="11"/>
      <c r="F857" s="12" t="str">
        <f aca="false">IF(A857="","",SUM(C857:E857))</f>
        <v/>
      </c>
      <c r="G857" s="16" t="str">
        <f aca="false">IF(A857="","",IFERROR(INDEX(Productos!$K$2:$K$1001,MATCH(A857,Productos!$A$2:$A$1001,0)),""))</f>
        <v/>
      </c>
      <c r="H857" s="16" t="str">
        <f aca="false">IF(OR(A857="",G857=""),"",F857*G857)</f>
        <v/>
      </c>
    </row>
    <row r="858" customFormat="false" ht="15" hidden="false" customHeight="false" outlineLevel="0" collapsed="false">
      <c r="A858" s="11"/>
      <c r="B858" s="12" t="str">
        <f aca="false">IF(A858="","",IFERROR(INDEX(Productos!$D$2:$D$1001,MATCH(A858,Productos!$A$2:$A$1001,0))&amp;" — "&amp;INDEX(Productos!$E$2:$E$1001,MATCH(A858,Productos!$A$2:$A$1001,0)),"SKU no existe en Productos"))</f>
        <v/>
      </c>
      <c r="C858" s="11"/>
      <c r="D858" s="11"/>
      <c r="E858" s="11"/>
      <c r="F858" s="12" t="str">
        <f aca="false">IF(A858="","",SUM(C858:E858))</f>
        <v/>
      </c>
      <c r="G858" s="16" t="str">
        <f aca="false">IF(A858="","",IFERROR(INDEX(Productos!$K$2:$K$1001,MATCH(A858,Productos!$A$2:$A$1001,0)),""))</f>
        <v/>
      </c>
      <c r="H858" s="16" t="str">
        <f aca="false">IF(OR(A858="",G858=""),"",F858*G858)</f>
        <v/>
      </c>
    </row>
    <row r="859" customFormat="false" ht="15" hidden="false" customHeight="false" outlineLevel="0" collapsed="false">
      <c r="A859" s="11"/>
      <c r="B859" s="12" t="str">
        <f aca="false">IF(A859="","",IFERROR(INDEX(Productos!$D$2:$D$1001,MATCH(A859,Productos!$A$2:$A$1001,0))&amp;" — "&amp;INDEX(Productos!$E$2:$E$1001,MATCH(A859,Productos!$A$2:$A$1001,0)),"SKU no existe en Productos"))</f>
        <v/>
      </c>
      <c r="C859" s="11"/>
      <c r="D859" s="11"/>
      <c r="E859" s="11"/>
      <c r="F859" s="12" t="str">
        <f aca="false">IF(A859="","",SUM(C859:E859))</f>
        <v/>
      </c>
      <c r="G859" s="16" t="str">
        <f aca="false">IF(A859="","",IFERROR(INDEX(Productos!$K$2:$K$1001,MATCH(A859,Productos!$A$2:$A$1001,0)),""))</f>
        <v/>
      </c>
      <c r="H859" s="16" t="str">
        <f aca="false">IF(OR(A859="",G859=""),"",F859*G859)</f>
        <v/>
      </c>
    </row>
    <row r="860" customFormat="false" ht="15" hidden="false" customHeight="false" outlineLevel="0" collapsed="false">
      <c r="A860" s="11"/>
      <c r="B860" s="12" t="str">
        <f aca="false">IF(A860="","",IFERROR(INDEX(Productos!$D$2:$D$1001,MATCH(A860,Productos!$A$2:$A$1001,0))&amp;" — "&amp;INDEX(Productos!$E$2:$E$1001,MATCH(A860,Productos!$A$2:$A$1001,0)),"SKU no existe en Productos"))</f>
        <v/>
      </c>
      <c r="C860" s="11"/>
      <c r="D860" s="11"/>
      <c r="E860" s="11"/>
      <c r="F860" s="12" t="str">
        <f aca="false">IF(A860="","",SUM(C860:E860))</f>
        <v/>
      </c>
      <c r="G860" s="16" t="str">
        <f aca="false">IF(A860="","",IFERROR(INDEX(Productos!$K$2:$K$1001,MATCH(A860,Productos!$A$2:$A$1001,0)),""))</f>
        <v/>
      </c>
      <c r="H860" s="16" t="str">
        <f aca="false">IF(OR(A860="",G860=""),"",F860*G860)</f>
        <v/>
      </c>
    </row>
    <row r="861" customFormat="false" ht="15" hidden="false" customHeight="false" outlineLevel="0" collapsed="false">
      <c r="A861" s="11"/>
      <c r="B861" s="12" t="str">
        <f aca="false">IF(A861="","",IFERROR(INDEX(Productos!$D$2:$D$1001,MATCH(A861,Productos!$A$2:$A$1001,0))&amp;" — "&amp;INDEX(Productos!$E$2:$E$1001,MATCH(A861,Productos!$A$2:$A$1001,0)),"SKU no existe en Productos"))</f>
        <v/>
      </c>
      <c r="C861" s="11"/>
      <c r="D861" s="11"/>
      <c r="E861" s="11"/>
      <c r="F861" s="12" t="str">
        <f aca="false">IF(A861="","",SUM(C861:E861))</f>
        <v/>
      </c>
      <c r="G861" s="16" t="str">
        <f aca="false">IF(A861="","",IFERROR(INDEX(Productos!$K$2:$K$1001,MATCH(A861,Productos!$A$2:$A$1001,0)),""))</f>
        <v/>
      </c>
      <c r="H861" s="16" t="str">
        <f aca="false">IF(OR(A861="",G861=""),"",F861*G861)</f>
        <v/>
      </c>
    </row>
    <row r="862" customFormat="false" ht="15" hidden="false" customHeight="false" outlineLevel="0" collapsed="false">
      <c r="A862" s="11"/>
      <c r="B862" s="12" t="str">
        <f aca="false">IF(A862="","",IFERROR(INDEX(Productos!$D$2:$D$1001,MATCH(A862,Productos!$A$2:$A$1001,0))&amp;" — "&amp;INDEX(Productos!$E$2:$E$1001,MATCH(A862,Productos!$A$2:$A$1001,0)),"SKU no existe en Productos"))</f>
        <v/>
      </c>
      <c r="C862" s="11"/>
      <c r="D862" s="11"/>
      <c r="E862" s="11"/>
      <c r="F862" s="12" t="str">
        <f aca="false">IF(A862="","",SUM(C862:E862))</f>
        <v/>
      </c>
      <c r="G862" s="16" t="str">
        <f aca="false">IF(A862="","",IFERROR(INDEX(Productos!$K$2:$K$1001,MATCH(A862,Productos!$A$2:$A$1001,0)),""))</f>
        <v/>
      </c>
      <c r="H862" s="16" t="str">
        <f aca="false">IF(OR(A862="",G862=""),"",F862*G862)</f>
        <v/>
      </c>
    </row>
    <row r="863" customFormat="false" ht="15" hidden="false" customHeight="false" outlineLevel="0" collapsed="false">
      <c r="A863" s="11"/>
      <c r="B863" s="12" t="str">
        <f aca="false">IF(A863="","",IFERROR(INDEX(Productos!$D$2:$D$1001,MATCH(A863,Productos!$A$2:$A$1001,0))&amp;" — "&amp;INDEX(Productos!$E$2:$E$1001,MATCH(A863,Productos!$A$2:$A$1001,0)),"SKU no existe en Productos"))</f>
        <v/>
      </c>
      <c r="C863" s="11"/>
      <c r="D863" s="11"/>
      <c r="E863" s="11"/>
      <c r="F863" s="12" t="str">
        <f aca="false">IF(A863="","",SUM(C863:E863))</f>
        <v/>
      </c>
      <c r="G863" s="16" t="str">
        <f aca="false">IF(A863="","",IFERROR(INDEX(Productos!$K$2:$K$1001,MATCH(A863,Productos!$A$2:$A$1001,0)),""))</f>
        <v/>
      </c>
      <c r="H863" s="16" t="str">
        <f aca="false">IF(OR(A863="",G863=""),"",F863*G863)</f>
        <v/>
      </c>
    </row>
    <row r="864" customFormat="false" ht="15" hidden="false" customHeight="false" outlineLevel="0" collapsed="false">
      <c r="A864" s="11"/>
      <c r="B864" s="12" t="str">
        <f aca="false">IF(A864="","",IFERROR(INDEX(Productos!$D$2:$D$1001,MATCH(A864,Productos!$A$2:$A$1001,0))&amp;" — "&amp;INDEX(Productos!$E$2:$E$1001,MATCH(A864,Productos!$A$2:$A$1001,0)),"SKU no existe en Productos"))</f>
        <v/>
      </c>
      <c r="C864" s="11"/>
      <c r="D864" s="11"/>
      <c r="E864" s="11"/>
      <c r="F864" s="12" t="str">
        <f aca="false">IF(A864="","",SUM(C864:E864))</f>
        <v/>
      </c>
      <c r="G864" s="16" t="str">
        <f aca="false">IF(A864="","",IFERROR(INDEX(Productos!$K$2:$K$1001,MATCH(A864,Productos!$A$2:$A$1001,0)),""))</f>
        <v/>
      </c>
      <c r="H864" s="16" t="str">
        <f aca="false">IF(OR(A864="",G864=""),"",F864*G864)</f>
        <v/>
      </c>
    </row>
    <row r="865" customFormat="false" ht="15" hidden="false" customHeight="false" outlineLevel="0" collapsed="false">
      <c r="A865" s="11"/>
      <c r="B865" s="12" t="str">
        <f aca="false">IF(A865="","",IFERROR(INDEX(Productos!$D$2:$D$1001,MATCH(A865,Productos!$A$2:$A$1001,0))&amp;" — "&amp;INDEX(Productos!$E$2:$E$1001,MATCH(A865,Productos!$A$2:$A$1001,0)),"SKU no existe en Productos"))</f>
        <v/>
      </c>
      <c r="C865" s="11"/>
      <c r="D865" s="11"/>
      <c r="E865" s="11"/>
      <c r="F865" s="12" t="str">
        <f aca="false">IF(A865="","",SUM(C865:E865))</f>
        <v/>
      </c>
      <c r="G865" s="16" t="str">
        <f aca="false">IF(A865="","",IFERROR(INDEX(Productos!$K$2:$K$1001,MATCH(A865,Productos!$A$2:$A$1001,0)),""))</f>
        <v/>
      </c>
      <c r="H865" s="16" t="str">
        <f aca="false">IF(OR(A865="",G865=""),"",F865*G865)</f>
        <v/>
      </c>
    </row>
    <row r="866" customFormat="false" ht="15" hidden="false" customHeight="false" outlineLevel="0" collapsed="false">
      <c r="A866" s="11"/>
      <c r="B866" s="12" t="str">
        <f aca="false">IF(A866="","",IFERROR(INDEX(Productos!$D$2:$D$1001,MATCH(A866,Productos!$A$2:$A$1001,0))&amp;" — "&amp;INDEX(Productos!$E$2:$E$1001,MATCH(A866,Productos!$A$2:$A$1001,0)),"SKU no existe en Productos"))</f>
        <v/>
      </c>
      <c r="C866" s="11"/>
      <c r="D866" s="11"/>
      <c r="E866" s="11"/>
      <c r="F866" s="12" t="str">
        <f aca="false">IF(A866="","",SUM(C866:E866))</f>
        <v/>
      </c>
      <c r="G866" s="16" t="str">
        <f aca="false">IF(A866="","",IFERROR(INDEX(Productos!$K$2:$K$1001,MATCH(A866,Productos!$A$2:$A$1001,0)),""))</f>
        <v/>
      </c>
      <c r="H866" s="16" t="str">
        <f aca="false">IF(OR(A866="",G866=""),"",F866*G866)</f>
        <v/>
      </c>
    </row>
    <row r="867" customFormat="false" ht="15" hidden="false" customHeight="false" outlineLevel="0" collapsed="false">
      <c r="A867" s="11"/>
      <c r="B867" s="12" t="str">
        <f aca="false">IF(A867="","",IFERROR(INDEX(Productos!$D$2:$D$1001,MATCH(A867,Productos!$A$2:$A$1001,0))&amp;" — "&amp;INDEX(Productos!$E$2:$E$1001,MATCH(A867,Productos!$A$2:$A$1001,0)),"SKU no existe en Productos"))</f>
        <v/>
      </c>
      <c r="C867" s="11"/>
      <c r="D867" s="11"/>
      <c r="E867" s="11"/>
      <c r="F867" s="12" t="str">
        <f aca="false">IF(A867="","",SUM(C867:E867))</f>
        <v/>
      </c>
      <c r="G867" s="16" t="str">
        <f aca="false">IF(A867="","",IFERROR(INDEX(Productos!$K$2:$K$1001,MATCH(A867,Productos!$A$2:$A$1001,0)),""))</f>
        <v/>
      </c>
      <c r="H867" s="16" t="str">
        <f aca="false">IF(OR(A867="",G867=""),"",F867*G867)</f>
        <v/>
      </c>
    </row>
    <row r="868" customFormat="false" ht="15" hidden="false" customHeight="false" outlineLevel="0" collapsed="false">
      <c r="A868" s="11"/>
      <c r="B868" s="12" t="str">
        <f aca="false">IF(A868="","",IFERROR(INDEX(Productos!$D$2:$D$1001,MATCH(A868,Productos!$A$2:$A$1001,0))&amp;" — "&amp;INDEX(Productos!$E$2:$E$1001,MATCH(A868,Productos!$A$2:$A$1001,0)),"SKU no existe en Productos"))</f>
        <v/>
      </c>
      <c r="C868" s="11"/>
      <c r="D868" s="11"/>
      <c r="E868" s="11"/>
      <c r="F868" s="12" t="str">
        <f aca="false">IF(A868="","",SUM(C868:E868))</f>
        <v/>
      </c>
      <c r="G868" s="16" t="str">
        <f aca="false">IF(A868="","",IFERROR(INDEX(Productos!$K$2:$K$1001,MATCH(A868,Productos!$A$2:$A$1001,0)),""))</f>
        <v/>
      </c>
      <c r="H868" s="16" t="str">
        <f aca="false">IF(OR(A868="",G868=""),"",F868*G868)</f>
        <v/>
      </c>
    </row>
    <row r="869" customFormat="false" ht="15" hidden="false" customHeight="false" outlineLevel="0" collapsed="false">
      <c r="A869" s="11"/>
      <c r="B869" s="12" t="str">
        <f aca="false">IF(A869="","",IFERROR(INDEX(Productos!$D$2:$D$1001,MATCH(A869,Productos!$A$2:$A$1001,0))&amp;" — "&amp;INDEX(Productos!$E$2:$E$1001,MATCH(A869,Productos!$A$2:$A$1001,0)),"SKU no existe en Productos"))</f>
        <v/>
      </c>
      <c r="C869" s="11"/>
      <c r="D869" s="11"/>
      <c r="E869" s="11"/>
      <c r="F869" s="12" t="str">
        <f aca="false">IF(A869="","",SUM(C869:E869))</f>
        <v/>
      </c>
      <c r="G869" s="16" t="str">
        <f aca="false">IF(A869="","",IFERROR(INDEX(Productos!$K$2:$K$1001,MATCH(A869,Productos!$A$2:$A$1001,0)),""))</f>
        <v/>
      </c>
      <c r="H869" s="16" t="str">
        <f aca="false">IF(OR(A869="",G869=""),"",F869*G869)</f>
        <v/>
      </c>
    </row>
    <row r="870" customFormat="false" ht="15" hidden="false" customHeight="false" outlineLevel="0" collapsed="false">
      <c r="A870" s="11"/>
      <c r="B870" s="12" t="str">
        <f aca="false">IF(A870="","",IFERROR(INDEX(Productos!$D$2:$D$1001,MATCH(A870,Productos!$A$2:$A$1001,0))&amp;" — "&amp;INDEX(Productos!$E$2:$E$1001,MATCH(A870,Productos!$A$2:$A$1001,0)),"SKU no existe en Productos"))</f>
        <v/>
      </c>
      <c r="C870" s="11"/>
      <c r="D870" s="11"/>
      <c r="E870" s="11"/>
      <c r="F870" s="12" t="str">
        <f aca="false">IF(A870="","",SUM(C870:E870))</f>
        <v/>
      </c>
      <c r="G870" s="16" t="str">
        <f aca="false">IF(A870="","",IFERROR(INDEX(Productos!$K$2:$K$1001,MATCH(A870,Productos!$A$2:$A$1001,0)),""))</f>
        <v/>
      </c>
      <c r="H870" s="16" t="str">
        <f aca="false">IF(OR(A870="",G870=""),"",F870*G870)</f>
        <v/>
      </c>
    </row>
    <row r="871" customFormat="false" ht="15" hidden="false" customHeight="false" outlineLevel="0" collapsed="false">
      <c r="A871" s="11"/>
      <c r="B871" s="12" t="str">
        <f aca="false">IF(A871="","",IFERROR(INDEX(Productos!$D$2:$D$1001,MATCH(A871,Productos!$A$2:$A$1001,0))&amp;" — "&amp;INDEX(Productos!$E$2:$E$1001,MATCH(A871,Productos!$A$2:$A$1001,0)),"SKU no existe en Productos"))</f>
        <v/>
      </c>
      <c r="C871" s="11"/>
      <c r="D871" s="11"/>
      <c r="E871" s="11"/>
      <c r="F871" s="12" t="str">
        <f aca="false">IF(A871="","",SUM(C871:E871))</f>
        <v/>
      </c>
      <c r="G871" s="16" t="str">
        <f aca="false">IF(A871="","",IFERROR(INDEX(Productos!$K$2:$K$1001,MATCH(A871,Productos!$A$2:$A$1001,0)),""))</f>
        <v/>
      </c>
      <c r="H871" s="16" t="str">
        <f aca="false">IF(OR(A871="",G871=""),"",F871*G871)</f>
        <v/>
      </c>
    </row>
    <row r="872" customFormat="false" ht="15" hidden="false" customHeight="false" outlineLevel="0" collapsed="false">
      <c r="A872" s="11"/>
      <c r="B872" s="12" t="str">
        <f aca="false">IF(A872="","",IFERROR(INDEX(Productos!$D$2:$D$1001,MATCH(A872,Productos!$A$2:$A$1001,0))&amp;" — "&amp;INDEX(Productos!$E$2:$E$1001,MATCH(A872,Productos!$A$2:$A$1001,0)),"SKU no existe en Productos"))</f>
        <v/>
      </c>
      <c r="C872" s="11"/>
      <c r="D872" s="11"/>
      <c r="E872" s="11"/>
      <c r="F872" s="12" t="str">
        <f aca="false">IF(A872="","",SUM(C872:E872))</f>
        <v/>
      </c>
      <c r="G872" s="16" t="str">
        <f aca="false">IF(A872="","",IFERROR(INDEX(Productos!$K$2:$K$1001,MATCH(A872,Productos!$A$2:$A$1001,0)),""))</f>
        <v/>
      </c>
      <c r="H872" s="16" t="str">
        <f aca="false">IF(OR(A872="",G872=""),"",F872*G872)</f>
        <v/>
      </c>
    </row>
    <row r="873" customFormat="false" ht="15" hidden="false" customHeight="false" outlineLevel="0" collapsed="false">
      <c r="A873" s="11"/>
      <c r="B873" s="12" t="str">
        <f aca="false">IF(A873="","",IFERROR(INDEX(Productos!$D$2:$D$1001,MATCH(A873,Productos!$A$2:$A$1001,0))&amp;" — "&amp;INDEX(Productos!$E$2:$E$1001,MATCH(A873,Productos!$A$2:$A$1001,0)),"SKU no existe en Productos"))</f>
        <v/>
      </c>
      <c r="C873" s="11"/>
      <c r="D873" s="11"/>
      <c r="E873" s="11"/>
      <c r="F873" s="12" t="str">
        <f aca="false">IF(A873="","",SUM(C873:E873))</f>
        <v/>
      </c>
      <c r="G873" s="16" t="str">
        <f aca="false">IF(A873="","",IFERROR(INDEX(Productos!$K$2:$K$1001,MATCH(A873,Productos!$A$2:$A$1001,0)),""))</f>
        <v/>
      </c>
      <c r="H873" s="16" t="str">
        <f aca="false">IF(OR(A873="",G873=""),"",F873*G873)</f>
        <v/>
      </c>
    </row>
    <row r="874" customFormat="false" ht="15" hidden="false" customHeight="false" outlineLevel="0" collapsed="false">
      <c r="A874" s="11"/>
      <c r="B874" s="12" t="str">
        <f aca="false">IF(A874="","",IFERROR(INDEX(Productos!$D$2:$D$1001,MATCH(A874,Productos!$A$2:$A$1001,0))&amp;" — "&amp;INDEX(Productos!$E$2:$E$1001,MATCH(A874,Productos!$A$2:$A$1001,0)),"SKU no existe en Productos"))</f>
        <v/>
      </c>
      <c r="C874" s="11"/>
      <c r="D874" s="11"/>
      <c r="E874" s="11"/>
      <c r="F874" s="12" t="str">
        <f aca="false">IF(A874="","",SUM(C874:E874))</f>
        <v/>
      </c>
      <c r="G874" s="16" t="str">
        <f aca="false">IF(A874="","",IFERROR(INDEX(Productos!$K$2:$K$1001,MATCH(A874,Productos!$A$2:$A$1001,0)),""))</f>
        <v/>
      </c>
      <c r="H874" s="16" t="str">
        <f aca="false">IF(OR(A874="",G874=""),"",F874*G874)</f>
        <v/>
      </c>
    </row>
    <row r="875" customFormat="false" ht="15" hidden="false" customHeight="false" outlineLevel="0" collapsed="false">
      <c r="A875" s="11"/>
      <c r="B875" s="12" t="str">
        <f aca="false">IF(A875="","",IFERROR(INDEX(Productos!$D$2:$D$1001,MATCH(A875,Productos!$A$2:$A$1001,0))&amp;" — "&amp;INDEX(Productos!$E$2:$E$1001,MATCH(A875,Productos!$A$2:$A$1001,0)),"SKU no existe en Productos"))</f>
        <v/>
      </c>
      <c r="C875" s="11"/>
      <c r="D875" s="11"/>
      <c r="E875" s="11"/>
      <c r="F875" s="12" t="str">
        <f aca="false">IF(A875="","",SUM(C875:E875))</f>
        <v/>
      </c>
      <c r="G875" s="16" t="str">
        <f aca="false">IF(A875="","",IFERROR(INDEX(Productos!$K$2:$K$1001,MATCH(A875,Productos!$A$2:$A$1001,0)),""))</f>
        <v/>
      </c>
      <c r="H875" s="16" t="str">
        <f aca="false">IF(OR(A875="",G875=""),"",F875*G875)</f>
        <v/>
      </c>
    </row>
    <row r="876" customFormat="false" ht="15" hidden="false" customHeight="false" outlineLevel="0" collapsed="false">
      <c r="A876" s="11"/>
      <c r="B876" s="12" t="str">
        <f aca="false">IF(A876="","",IFERROR(INDEX(Productos!$D$2:$D$1001,MATCH(A876,Productos!$A$2:$A$1001,0))&amp;" — "&amp;INDEX(Productos!$E$2:$E$1001,MATCH(A876,Productos!$A$2:$A$1001,0)),"SKU no existe en Productos"))</f>
        <v/>
      </c>
      <c r="C876" s="11"/>
      <c r="D876" s="11"/>
      <c r="E876" s="11"/>
      <c r="F876" s="12" t="str">
        <f aca="false">IF(A876="","",SUM(C876:E876))</f>
        <v/>
      </c>
      <c r="G876" s="16" t="str">
        <f aca="false">IF(A876="","",IFERROR(INDEX(Productos!$K$2:$K$1001,MATCH(A876,Productos!$A$2:$A$1001,0)),""))</f>
        <v/>
      </c>
      <c r="H876" s="16" t="str">
        <f aca="false">IF(OR(A876="",G876=""),"",F876*G876)</f>
        <v/>
      </c>
    </row>
    <row r="877" customFormat="false" ht="15" hidden="false" customHeight="false" outlineLevel="0" collapsed="false">
      <c r="A877" s="11"/>
      <c r="B877" s="12" t="str">
        <f aca="false">IF(A877="","",IFERROR(INDEX(Productos!$D$2:$D$1001,MATCH(A877,Productos!$A$2:$A$1001,0))&amp;" — "&amp;INDEX(Productos!$E$2:$E$1001,MATCH(A877,Productos!$A$2:$A$1001,0)),"SKU no existe en Productos"))</f>
        <v/>
      </c>
      <c r="C877" s="11"/>
      <c r="D877" s="11"/>
      <c r="E877" s="11"/>
      <c r="F877" s="12" t="str">
        <f aca="false">IF(A877="","",SUM(C877:E877))</f>
        <v/>
      </c>
      <c r="G877" s="16" t="str">
        <f aca="false">IF(A877="","",IFERROR(INDEX(Productos!$K$2:$K$1001,MATCH(A877,Productos!$A$2:$A$1001,0)),""))</f>
        <v/>
      </c>
      <c r="H877" s="16" t="str">
        <f aca="false">IF(OR(A877="",G877=""),"",F877*G877)</f>
        <v/>
      </c>
    </row>
    <row r="878" customFormat="false" ht="15" hidden="false" customHeight="false" outlineLevel="0" collapsed="false">
      <c r="A878" s="11"/>
      <c r="B878" s="12" t="str">
        <f aca="false">IF(A878="","",IFERROR(INDEX(Productos!$D$2:$D$1001,MATCH(A878,Productos!$A$2:$A$1001,0))&amp;" — "&amp;INDEX(Productos!$E$2:$E$1001,MATCH(A878,Productos!$A$2:$A$1001,0)),"SKU no existe en Productos"))</f>
        <v/>
      </c>
      <c r="C878" s="11"/>
      <c r="D878" s="11"/>
      <c r="E878" s="11"/>
      <c r="F878" s="12" t="str">
        <f aca="false">IF(A878="","",SUM(C878:E878))</f>
        <v/>
      </c>
      <c r="G878" s="16" t="str">
        <f aca="false">IF(A878="","",IFERROR(INDEX(Productos!$K$2:$K$1001,MATCH(A878,Productos!$A$2:$A$1001,0)),""))</f>
        <v/>
      </c>
      <c r="H878" s="16" t="str">
        <f aca="false">IF(OR(A878="",G878=""),"",F878*G878)</f>
        <v/>
      </c>
    </row>
    <row r="879" customFormat="false" ht="15" hidden="false" customHeight="false" outlineLevel="0" collapsed="false">
      <c r="A879" s="11"/>
      <c r="B879" s="12" t="str">
        <f aca="false">IF(A879="","",IFERROR(INDEX(Productos!$D$2:$D$1001,MATCH(A879,Productos!$A$2:$A$1001,0))&amp;" — "&amp;INDEX(Productos!$E$2:$E$1001,MATCH(A879,Productos!$A$2:$A$1001,0)),"SKU no existe en Productos"))</f>
        <v/>
      </c>
      <c r="C879" s="11"/>
      <c r="D879" s="11"/>
      <c r="E879" s="11"/>
      <c r="F879" s="12" t="str">
        <f aca="false">IF(A879="","",SUM(C879:E879))</f>
        <v/>
      </c>
      <c r="G879" s="16" t="str">
        <f aca="false">IF(A879="","",IFERROR(INDEX(Productos!$K$2:$K$1001,MATCH(A879,Productos!$A$2:$A$1001,0)),""))</f>
        <v/>
      </c>
      <c r="H879" s="16" t="str">
        <f aca="false">IF(OR(A879="",G879=""),"",F879*G879)</f>
        <v/>
      </c>
    </row>
    <row r="880" customFormat="false" ht="15" hidden="false" customHeight="false" outlineLevel="0" collapsed="false">
      <c r="A880" s="11"/>
      <c r="B880" s="12" t="str">
        <f aca="false">IF(A880="","",IFERROR(INDEX(Productos!$D$2:$D$1001,MATCH(A880,Productos!$A$2:$A$1001,0))&amp;" — "&amp;INDEX(Productos!$E$2:$E$1001,MATCH(A880,Productos!$A$2:$A$1001,0)),"SKU no existe en Productos"))</f>
        <v/>
      </c>
      <c r="C880" s="11"/>
      <c r="D880" s="11"/>
      <c r="E880" s="11"/>
      <c r="F880" s="12" t="str">
        <f aca="false">IF(A880="","",SUM(C880:E880))</f>
        <v/>
      </c>
      <c r="G880" s="16" t="str">
        <f aca="false">IF(A880="","",IFERROR(INDEX(Productos!$K$2:$K$1001,MATCH(A880,Productos!$A$2:$A$1001,0)),""))</f>
        <v/>
      </c>
      <c r="H880" s="16" t="str">
        <f aca="false">IF(OR(A880="",G880=""),"",F880*G880)</f>
        <v/>
      </c>
    </row>
    <row r="881" customFormat="false" ht="15" hidden="false" customHeight="false" outlineLevel="0" collapsed="false">
      <c r="A881" s="11"/>
      <c r="B881" s="12" t="str">
        <f aca="false">IF(A881="","",IFERROR(INDEX(Productos!$D$2:$D$1001,MATCH(A881,Productos!$A$2:$A$1001,0))&amp;" — "&amp;INDEX(Productos!$E$2:$E$1001,MATCH(A881,Productos!$A$2:$A$1001,0)),"SKU no existe en Productos"))</f>
        <v/>
      </c>
      <c r="C881" s="11"/>
      <c r="D881" s="11"/>
      <c r="E881" s="11"/>
      <c r="F881" s="12" t="str">
        <f aca="false">IF(A881="","",SUM(C881:E881))</f>
        <v/>
      </c>
      <c r="G881" s="16" t="str">
        <f aca="false">IF(A881="","",IFERROR(INDEX(Productos!$K$2:$K$1001,MATCH(A881,Productos!$A$2:$A$1001,0)),""))</f>
        <v/>
      </c>
      <c r="H881" s="16" t="str">
        <f aca="false">IF(OR(A881="",G881=""),"",F881*G881)</f>
        <v/>
      </c>
    </row>
    <row r="882" customFormat="false" ht="15" hidden="false" customHeight="false" outlineLevel="0" collapsed="false">
      <c r="A882" s="11"/>
      <c r="B882" s="12" t="str">
        <f aca="false">IF(A882="","",IFERROR(INDEX(Productos!$D$2:$D$1001,MATCH(A882,Productos!$A$2:$A$1001,0))&amp;" — "&amp;INDEX(Productos!$E$2:$E$1001,MATCH(A882,Productos!$A$2:$A$1001,0)),"SKU no existe en Productos"))</f>
        <v/>
      </c>
      <c r="C882" s="11"/>
      <c r="D882" s="11"/>
      <c r="E882" s="11"/>
      <c r="F882" s="12" t="str">
        <f aca="false">IF(A882="","",SUM(C882:E882))</f>
        <v/>
      </c>
      <c r="G882" s="16" t="str">
        <f aca="false">IF(A882="","",IFERROR(INDEX(Productos!$K$2:$K$1001,MATCH(A882,Productos!$A$2:$A$1001,0)),""))</f>
        <v/>
      </c>
      <c r="H882" s="16" t="str">
        <f aca="false">IF(OR(A882="",G882=""),"",F882*G882)</f>
        <v/>
      </c>
    </row>
    <row r="883" customFormat="false" ht="15" hidden="false" customHeight="false" outlineLevel="0" collapsed="false">
      <c r="A883" s="11"/>
      <c r="B883" s="12" t="str">
        <f aca="false">IF(A883="","",IFERROR(INDEX(Productos!$D$2:$D$1001,MATCH(A883,Productos!$A$2:$A$1001,0))&amp;" — "&amp;INDEX(Productos!$E$2:$E$1001,MATCH(A883,Productos!$A$2:$A$1001,0)),"SKU no existe en Productos"))</f>
        <v/>
      </c>
      <c r="C883" s="11"/>
      <c r="D883" s="11"/>
      <c r="E883" s="11"/>
      <c r="F883" s="12" t="str">
        <f aca="false">IF(A883="","",SUM(C883:E883))</f>
        <v/>
      </c>
      <c r="G883" s="16" t="str">
        <f aca="false">IF(A883="","",IFERROR(INDEX(Productos!$K$2:$K$1001,MATCH(A883,Productos!$A$2:$A$1001,0)),""))</f>
        <v/>
      </c>
      <c r="H883" s="16" t="str">
        <f aca="false">IF(OR(A883="",G883=""),"",F883*G883)</f>
        <v/>
      </c>
    </row>
    <row r="884" customFormat="false" ht="15" hidden="false" customHeight="false" outlineLevel="0" collapsed="false">
      <c r="A884" s="11"/>
      <c r="B884" s="12" t="str">
        <f aca="false">IF(A884="","",IFERROR(INDEX(Productos!$D$2:$D$1001,MATCH(A884,Productos!$A$2:$A$1001,0))&amp;" — "&amp;INDEX(Productos!$E$2:$E$1001,MATCH(A884,Productos!$A$2:$A$1001,0)),"SKU no existe en Productos"))</f>
        <v/>
      </c>
      <c r="C884" s="11"/>
      <c r="D884" s="11"/>
      <c r="E884" s="11"/>
      <c r="F884" s="12" t="str">
        <f aca="false">IF(A884="","",SUM(C884:E884))</f>
        <v/>
      </c>
      <c r="G884" s="16" t="str">
        <f aca="false">IF(A884="","",IFERROR(INDEX(Productos!$K$2:$K$1001,MATCH(A884,Productos!$A$2:$A$1001,0)),""))</f>
        <v/>
      </c>
      <c r="H884" s="16" t="str">
        <f aca="false">IF(OR(A884="",G884=""),"",F884*G884)</f>
        <v/>
      </c>
    </row>
    <row r="885" customFormat="false" ht="15" hidden="false" customHeight="false" outlineLevel="0" collapsed="false">
      <c r="A885" s="11"/>
      <c r="B885" s="12" t="str">
        <f aca="false">IF(A885="","",IFERROR(INDEX(Productos!$D$2:$D$1001,MATCH(A885,Productos!$A$2:$A$1001,0))&amp;" — "&amp;INDEX(Productos!$E$2:$E$1001,MATCH(A885,Productos!$A$2:$A$1001,0)),"SKU no existe en Productos"))</f>
        <v/>
      </c>
      <c r="C885" s="11"/>
      <c r="D885" s="11"/>
      <c r="E885" s="11"/>
      <c r="F885" s="12" t="str">
        <f aca="false">IF(A885="","",SUM(C885:E885))</f>
        <v/>
      </c>
      <c r="G885" s="16" t="str">
        <f aca="false">IF(A885="","",IFERROR(INDEX(Productos!$K$2:$K$1001,MATCH(A885,Productos!$A$2:$A$1001,0)),""))</f>
        <v/>
      </c>
      <c r="H885" s="16" t="str">
        <f aca="false">IF(OR(A885="",G885=""),"",F885*G885)</f>
        <v/>
      </c>
    </row>
    <row r="886" customFormat="false" ht="15" hidden="false" customHeight="false" outlineLevel="0" collapsed="false">
      <c r="A886" s="11"/>
      <c r="B886" s="12" t="str">
        <f aca="false">IF(A886="","",IFERROR(INDEX(Productos!$D$2:$D$1001,MATCH(A886,Productos!$A$2:$A$1001,0))&amp;" — "&amp;INDEX(Productos!$E$2:$E$1001,MATCH(A886,Productos!$A$2:$A$1001,0)),"SKU no existe en Productos"))</f>
        <v/>
      </c>
      <c r="C886" s="11"/>
      <c r="D886" s="11"/>
      <c r="E886" s="11"/>
      <c r="F886" s="12" t="str">
        <f aca="false">IF(A886="","",SUM(C886:E886))</f>
        <v/>
      </c>
      <c r="G886" s="16" t="str">
        <f aca="false">IF(A886="","",IFERROR(INDEX(Productos!$K$2:$K$1001,MATCH(A886,Productos!$A$2:$A$1001,0)),""))</f>
        <v/>
      </c>
      <c r="H886" s="16" t="str">
        <f aca="false">IF(OR(A886="",G886=""),"",F886*G886)</f>
        <v/>
      </c>
    </row>
    <row r="887" customFormat="false" ht="15" hidden="false" customHeight="false" outlineLevel="0" collapsed="false">
      <c r="A887" s="11"/>
      <c r="B887" s="12" t="str">
        <f aca="false">IF(A887="","",IFERROR(INDEX(Productos!$D$2:$D$1001,MATCH(A887,Productos!$A$2:$A$1001,0))&amp;" — "&amp;INDEX(Productos!$E$2:$E$1001,MATCH(A887,Productos!$A$2:$A$1001,0)),"SKU no existe en Productos"))</f>
        <v/>
      </c>
      <c r="C887" s="11"/>
      <c r="D887" s="11"/>
      <c r="E887" s="11"/>
      <c r="F887" s="12" t="str">
        <f aca="false">IF(A887="","",SUM(C887:E887))</f>
        <v/>
      </c>
      <c r="G887" s="16" t="str">
        <f aca="false">IF(A887="","",IFERROR(INDEX(Productos!$K$2:$K$1001,MATCH(A887,Productos!$A$2:$A$1001,0)),""))</f>
        <v/>
      </c>
      <c r="H887" s="16" t="str">
        <f aca="false">IF(OR(A887="",G887=""),"",F887*G887)</f>
        <v/>
      </c>
    </row>
    <row r="888" customFormat="false" ht="15" hidden="false" customHeight="false" outlineLevel="0" collapsed="false">
      <c r="A888" s="11"/>
      <c r="B888" s="12" t="str">
        <f aca="false">IF(A888="","",IFERROR(INDEX(Productos!$D$2:$D$1001,MATCH(A888,Productos!$A$2:$A$1001,0))&amp;" — "&amp;INDEX(Productos!$E$2:$E$1001,MATCH(A888,Productos!$A$2:$A$1001,0)),"SKU no existe en Productos"))</f>
        <v/>
      </c>
      <c r="C888" s="11"/>
      <c r="D888" s="11"/>
      <c r="E888" s="11"/>
      <c r="F888" s="12" t="str">
        <f aca="false">IF(A888="","",SUM(C888:E888))</f>
        <v/>
      </c>
      <c r="G888" s="16" t="str">
        <f aca="false">IF(A888="","",IFERROR(INDEX(Productos!$K$2:$K$1001,MATCH(A888,Productos!$A$2:$A$1001,0)),""))</f>
        <v/>
      </c>
      <c r="H888" s="16" t="str">
        <f aca="false">IF(OR(A888="",G888=""),"",F888*G888)</f>
        <v/>
      </c>
    </row>
    <row r="889" customFormat="false" ht="15" hidden="false" customHeight="false" outlineLevel="0" collapsed="false">
      <c r="A889" s="11"/>
      <c r="B889" s="12" t="str">
        <f aca="false">IF(A889="","",IFERROR(INDEX(Productos!$D$2:$D$1001,MATCH(A889,Productos!$A$2:$A$1001,0))&amp;" — "&amp;INDEX(Productos!$E$2:$E$1001,MATCH(A889,Productos!$A$2:$A$1001,0)),"SKU no existe en Productos"))</f>
        <v/>
      </c>
      <c r="C889" s="11"/>
      <c r="D889" s="11"/>
      <c r="E889" s="11"/>
      <c r="F889" s="12" t="str">
        <f aca="false">IF(A889="","",SUM(C889:E889))</f>
        <v/>
      </c>
      <c r="G889" s="16" t="str">
        <f aca="false">IF(A889="","",IFERROR(INDEX(Productos!$K$2:$K$1001,MATCH(A889,Productos!$A$2:$A$1001,0)),""))</f>
        <v/>
      </c>
      <c r="H889" s="16" t="str">
        <f aca="false">IF(OR(A889="",G889=""),"",F889*G889)</f>
        <v/>
      </c>
    </row>
    <row r="890" customFormat="false" ht="15" hidden="false" customHeight="false" outlineLevel="0" collapsed="false">
      <c r="A890" s="11"/>
      <c r="B890" s="12" t="str">
        <f aca="false">IF(A890="","",IFERROR(INDEX(Productos!$D$2:$D$1001,MATCH(A890,Productos!$A$2:$A$1001,0))&amp;" — "&amp;INDEX(Productos!$E$2:$E$1001,MATCH(A890,Productos!$A$2:$A$1001,0)),"SKU no existe en Productos"))</f>
        <v/>
      </c>
      <c r="C890" s="11"/>
      <c r="D890" s="11"/>
      <c r="E890" s="11"/>
      <c r="F890" s="12" t="str">
        <f aca="false">IF(A890="","",SUM(C890:E890))</f>
        <v/>
      </c>
      <c r="G890" s="16" t="str">
        <f aca="false">IF(A890="","",IFERROR(INDEX(Productos!$K$2:$K$1001,MATCH(A890,Productos!$A$2:$A$1001,0)),""))</f>
        <v/>
      </c>
      <c r="H890" s="16" t="str">
        <f aca="false">IF(OR(A890="",G890=""),"",F890*G890)</f>
        <v/>
      </c>
    </row>
    <row r="891" customFormat="false" ht="15" hidden="false" customHeight="false" outlineLevel="0" collapsed="false">
      <c r="A891" s="11"/>
      <c r="B891" s="12" t="str">
        <f aca="false">IF(A891="","",IFERROR(INDEX(Productos!$D$2:$D$1001,MATCH(A891,Productos!$A$2:$A$1001,0))&amp;" — "&amp;INDEX(Productos!$E$2:$E$1001,MATCH(A891,Productos!$A$2:$A$1001,0)),"SKU no existe en Productos"))</f>
        <v/>
      </c>
      <c r="C891" s="11"/>
      <c r="D891" s="11"/>
      <c r="E891" s="11"/>
      <c r="F891" s="12" t="str">
        <f aca="false">IF(A891="","",SUM(C891:E891))</f>
        <v/>
      </c>
      <c r="G891" s="16" t="str">
        <f aca="false">IF(A891="","",IFERROR(INDEX(Productos!$K$2:$K$1001,MATCH(A891,Productos!$A$2:$A$1001,0)),""))</f>
        <v/>
      </c>
      <c r="H891" s="16" t="str">
        <f aca="false">IF(OR(A891="",G891=""),"",F891*G891)</f>
        <v/>
      </c>
    </row>
    <row r="892" customFormat="false" ht="15" hidden="false" customHeight="false" outlineLevel="0" collapsed="false">
      <c r="A892" s="11"/>
      <c r="B892" s="12" t="str">
        <f aca="false">IF(A892="","",IFERROR(INDEX(Productos!$D$2:$D$1001,MATCH(A892,Productos!$A$2:$A$1001,0))&amp;" — "&amp;INDEX(Productos!$E$2:$E$1001,MATCH(A892,Productos!$A$2:$A$1001,0)),"SKU no existe en Productos"))</f>
        <v/>
      </c>
      <c r="C892" s="11"/>
      <c r="D892" s="11"/>
      <c r="E892" s="11"/>
      <c r="F892" s="12" t="str">
        <f aca="false">IF(A892="","",SUM(C892:E892))</f>
        <v/>
      </c>
      <c r="G892" s="16" t="str">
        <f aca="false">IF(A892="","",IFERROR(INDEX(Productos!$K$2:$K$1001,MATCH(A892,Productos!$A$2:$A$1001,0)),""))</f>
        <v/>
      </c>
      <c r="H892" s="16" t="str">
        <f aca="false">IF(OR(A892="",G892=""),"",F892*G892)</f>
        <v/>
      </c>
    </row>
    <row r="893" customFormat="false" ht="15" hidden="false" customHeight="false" outlineLevel="0" collapsed="false">
      <c r="A893" s="11"/>
      <c r="B893" s="12" t="str">
        <f aca="false">IF(A893="","",IFERROR(INDEX(Productos!$D$2:$D$1001,MATCH(A893,Productos!$A$2:$A$1001,0))&amp;" — "&amp;INDEX(Productos!$E$2:$E$1001,MATCH(A893,Productos!$A$2:$A$1001,0)),"SKU no existe en Productos"))</f>
        <v/>
      </c>
      <c r="C893" s="11"/>
      <c r="D893" s="11"/>
      <c r="E893" s="11"/>
      <c r="F893" s="12" t="str">
        <f aca="false">IF(A893="","",SUM(C893:E893))</f>
        <v/>
      </c>
      <c r="G893" s="16" t="str">
        <f aca="false">IF(A893="","",IFERROR(INDEX(Productos!$K$2:$K$1001,MATCH(A893,Productos!$A$2:$A$1001,0)),""))</f>
        <v/>
      </c>
      <c r="H893" s="16" t="str">
        <f aca="false">IF(OR(A893="",G893=""),"",F893*G893)</f>
        <v/>
      </c>
    </row>
    <row r="894" customFormat="false" ht="15" hidden="false" customHeight="false" outlineLevel="0" collapsed="false">
      <c r="A894" s="11"/>
      <c r="B894" s="12" t="str">
        <f aca="false">IF(A894="","",IFERROR(INDEX(Productos!$D$2:$D$1001,MATCH(A894,Productos!$A$2:$A$1001,0))&amp;" — "&amp;INDEX(Productos!$E$2:$E$1001,MATCH(A894,Productos!$A$2:$A$1001,0)),"SKU no existe en Productos"))</f>
        <v/>
      </c>
      <c r="C894" s="11"/>
      <c r="D894" s="11"/>
      <c r="E894" s="11"/>
      <c r="F894" s="12" t="str">
        <f aca="false">IF(A894="","",SUM(C894:E894))</f>
        <v/>
      </c>
      <c r="G894" s="16" t="str">
        <f aca="false">IF(A894="","",IFERROR(INDEX(Productos!$K$2:$K$1001,MATCH(A894,Productos!$A$2:$A$1001,0)),""))</f>
        <v/>
      </c>
      <c r="H894" s="16" t="str">
        <f aca="false">IF(OR(A894="",G894=""),"",F894*G894)</f>
        <v/>
      </c>
    </row>
    <row r="895" customFormat="false" ht="15" hidden="false" customHeight="false" outlineLevel="0" collapsed="false">
      <c r="A895" s="11"/>
      <c r="B895" s="12" t="str">
        <f aca="false">IF(A895="","",IFERROR(INDEX(Productos!$D$2:$D$1001,MATCH(A895,Productos!$A$2:$A$1001,0))&amp;" — "&amp;INDEX(Productos!$E$2:$E$1001,MATCH(A895,Productos!$A$2:$A$1001,0)),"SKU no existe en Productos"))</f>
        <v/>
      </c>
      <c r="C895" s="11"/>
      <c r="D895" s="11"/>
      <c r="E895" s="11"/>
      <c r="F895" s="12" t="str">
        <f aca="false">IF(A895="","",SUM(C895:E895))</f>
        <v/>
      </c>
      <c r="G895" s="16" t="str">
        <f aca="false">IF(A895="","",IFERROR(INDEX(Productos!$K$2:$K$1001,MATCH(A895,Productos!$A$2:$A$1001,0)),""))</f>
        <v/>
      </c>
      <c r="H895" s="16" t="str">
        <f aca="false">IF(OR(A895="",G895=""),"",F895*G895)</f>
        <v/>
      </c>
    </row>
    <row r="896" customFormat="false" ht="15" hidden="false" customHeight="false" outlineLevel="0" collapsed="false">
      <c r="A896" s="11"/>
      <c r="B896" s="12" t="str">
        <f aca="false">IF(A896="","",IFERROR(INDEX(Productos!$D$2:$D$1001,MATCH(A896,Productos!$A$2:$A$1001,0))&amp;" — "&amp;INDEX(Productos!$E$2:$E$1001,MATCH(A896,Productos!$A$2:$A$1001,0)),"SKU no existe en Productos"))</f>
        <v/>
      </c>
      <c r="C896" s="11"/>
      <c r="D896" s="11"/>
      <c r="E896" s="11"/>
      <c r="F896" s="12" t="str">
        <f aca="false">IF(A896="","",SUM(C896:E896))</f>
        <v/>
      </c>
      <c r="G896" s="16" t="str">
        <f aca="false">IF(A896="","",IFERROR(INDEX(Productos!$K$2:$K$1001,MATCH(A896,Productos!$A$2:$A$1001,0)),""))</f>
        <v/>
      </c>
      <c r="H896" s="16" t="str">
        <f aca="false">IF(OR(A896="",G896=""),"",F896*G896)</f>
        <v/>
      </c>
    </row>
    <row r="897" customFormat="false" ht="15" hidden="false" customHeight="false" outlineLevel="0" collapsed="false">
      <c r="A897" s="11"/>
      <c r="B897" s="12" t="str">
        <f aca="false">IF(A897="","",IFERROR(INDEX(Productos!$D$2:$D$1001,MATCH(A897,Productos!$A$2:$A$1001,0))&amp;" — "&amp;INDEX(Productos!$E$2:$E$1001,MATCH(A897,Productos!$A$2:$A$1001,0)),"SKU no existe en Productos"))</f>
        <v/>
      </c>
      <c r="C897" s="11"/>
      <c r="D897" s="11"/>
      <c r="E897" s="11"/>
      <c r="F897" s="12" t="str">
        <f aca="false">IF(A897="","",SUM(C897:E897))</f>
        <v/>
      </c>
      <c r="G897" s="16" t="str">
        <f aca="false">IF(A897="","",IFERROR(INDEX(Productos!$K$2:$K$1001,MATCH(A897,Productos!$A$2:$A$1001,0)),""))</f>
        <v/>
      </c>
      <c r="H897" s="16" t="str">
        <f aca="false">IF(OR(A897="",G897=""),"",F897*G897)</f>
        <v/>
      </c>
    </row>
    <row r="898" customFormat="false" ht="15" hidden="false" customHeight="false" outlineLevel="0" collapsed="false">
      <c r="A898" s="11"/>
      <c r="B898" s="12" t="str">
        <f aca="false">IF(A898="","",IFERROR(INDEX(Productos!$D$2:$D$1001,MATCH(A898,Productos!$A$2:$A$1001,0))&amp;" — "&amp;INDEX(Productos!$E$2:$E$1001,MATCH(A898,Productos!$A$2:$A$1001,0)),"SKU no existe en Productos"))</f>
        <v/>
      </c>
      <c r="C898" s="11"/>
      <c r="D898" s="11"/>
      <c r="E898" s="11"/>
      <c r="F898" s="12" t="str">
        <f aca="false">IF(A898="","",SUM(C898:E898))</f>
        <v/>
      </c>
      <c r="G898" s="16" t="str">
        <f aca="false">IF(A898="","",IFERROR(INDEX(Productos!$K$2:$K$1001,MATCH(A898,Productos!$A$2:$A$1001,0)),""))</f>
        <v/>
      </c>
      <c r="H898" s="16" t="str">
        <f aca="false">IF(OR(A898="",G898=""),"",F898*G898)</f>
        <v/>
      </c>
    </row>
    <row r="899" customFormat="false" ht="15" hidden="false" customHeight="false" outlineLevel="0" collapsed="false">
      <c r="A899" s="11"/>
      <c r="B899" s="12" t="str">
        <f aca="false">IF(A899="","",IFERROR(INDEX(Productos!$D$2:$D$1001,MATCH(A899,Productos!$A$2:$A$1001,0))&amp;" — "&amp;INDEX(Productos!$E$2:$E$1001,MATCH(A899,Productos!$A$2:$A$1001,0)),"SKU no existe en Productos"))</f>
        <v/>
      </c>
      <c r="C899" s="11"/>
      <c r="D899" s="11"/>
      <c r="E899" s="11"/>
      <c r="F899" s="12" t="str">
        <f aca="false">IF(A899="","",SUM(C899:E899))</f>
        <v/>
      </c>
      <c r="G899" s="16" t="str">
        <f aca="false">IF(A899="","",IFERROR(INDEX(Productos!$K$2:$K$1001,MATCH(A899,Productos!$A$2:$A$1001,0)),""))</f>
        <v/>
      </c>
      <c r="H899" s="16" t="str">
        <f aca="false">IF(OR(A899="",G899=""),"",F899*G899)</f>
        <v/>
      </c>
    </row>
    <row r="900" customFormat="false" ht="15" hidden="false" customHeight="false" outlineLevel="0" collapsed="false">
      <c r="A900" s="11"/>
      <c r="B900" s="12" t="str">
        <f aca="false">IF(A900="","",IFERROR(INDEX(Productos!$D$2:$D$1001,MATCH(A900,Productos!$A$2:$A$1001,0))&amp;" — "&amp;INDEX(Productos!$E$2:$E$1001,MATCH(A900,Productos!$A$2:$A$1001,0)),"SKU no existe en Productos"))</f>
        <v/>
      </c>
      <c r="C900" s="11"/>
      <c r="D900" s="11"/>
      <c r="E900" s="11"/>
      <c r="F900" s="12" t="str">
        <f aca="false">IF(A900="","",SUM(C900:E900))</f>
        <v/>
      </c>
      <c r="G900" s="16" t="str">
        <f aca="false">IF(A900="","",IFERROR(INDEX(Productos!$K$2:$K$1001,MATCH(A900,Productos!$A$2:$A$1001,0)),""))</f>
        <v/>
      </c>
      <c r="H900" s="16" t="str">
        <f aca="false">IF(OR(A900="",G900=""),"",F900*G900)</f>
        <v/>
      </c>
    </row>
    <row r="901" customFormat="false" ht="15" hidden="false" customHeight="false" outlineLevel="0" collapsed="false">
      <c r="A901" s="11"/>
      <c r="B901" s="12" t="str">
        <f aca="false">IF(A901="","",IFERROR(INDEX(Productos!$D$2:$D$1001,MATCH(A901,Productos!$A$2:$A$1001,0))&amp;" — "&amp;INDEX(Productos!$E$2:$E$1001,MATCH(A901,Productos!$A$2:$A$1001,0)),"SKU no existe en Productos"))</f>
        <v/>
      </c>
      <c r="C901" s="11"/>
      <c r="D901" s="11"/>
      <c r="E901" s="11"/>
      <c r="F901" s="12" t="str">
        <f aca="false">IF(A901="","",SUM(C901:E901))</f>
        <v/>
      </c>
      <c r="G901" s="16" t="str">
        <f aca="false">IF(A901="","",IFERROR(INDEX(Productos!$K$2:$K$1001,MATCH(A901,Productos!$A$2:$A$1001,0)),""))</f>
        <v/>
      </c>
      <c r="H901" s="16" t="str">
        <f aca="false">IF(OR(A901="",G901=""),"",F901*G901)</f>
        <v/>
      </c>
    </row>
    <row r="902" customFormat="false" ht="15" hidden="false" customHeight="false" outlineLevel="0" collapsed="false">
      <c r="A902" s="11"/>
      <c r="B902" s="12" t="str">
        <f aca="false">IF(A902="","",IFERROR(INDEX(Productos!$D$2:$D$1001,MATCH(A902,Productos!$A$2:$A$1001,0))&amp;" — "&amp;INDEX(Productos!$E$2:$E$1001,MATCH(A902,Productos!$A$2:$A$1001,0)),"SKU no existe en Productos"))</f>
        <v/>
      </c>
      <c r="C902" s="11"/>
      <c r="D902" s="11"/>
      <c r="E902" s="11"/>
      <c r="F902" s="12" t="str">
        <f aca="false">IF(A902="","",SUM(C902:E902))</f>
        <v/>
      </c>
      <c r="G902" s="16" t="str">
        <f aca="false">IF(A902="","",IFERROR(INDEX(Productos!$K$2:$K$1001,MATCH(A902,Productos!$A$2:$A$1001,0)),""))</f>
        <v/>
      </c>
      <c r="H902" s="16" t="str">
        <f aca="false">IF(OR(A902="",G902=""),"",F902*G902)</f>
        <v/>
      </c>
    </row>
    <row r="903" customFormat="false" ht="15" hidden="false" customHeight="false" outlineLevel="0" collapsed="false">
      <c r="A903" s="11"/>
      <c r="B903" s="12" t="str">
        <f aca="false">IF(A903="","",IFERROR(INDEX(Productos!$D$2:$D$1001,MATCH(A903,Productos!$A$2:$A$1001,0))&amp;" — "&amp;INDEX(Productos!$E$2:$E$1001,MATCH(A903,Productos!$A$2:$A$1001,0)),"SKU no existe en Productos"))</f>
        <v/>
      </c>
      <c r="C903" s="11"/>
      <c r="D903" s="11"/>
      <c r="E903" s="11"/>
      <c r="F903" s="12" t="str">
        <f aca="false">IF(A903="","",SUM(C903:E903))</f>
        <v/>
      </c>
      <c r="G903" s="16" t="str">
        <f aca="false">IF(A903="","",IFERROR(INDEX(Productos!$K$2:$K$1001,MATCH(A903,Productos!$A$2:$A$1001,0)),""))</f>
        <v/>
      </c>
      <c r="H903" s="16" t="str">
        <f aca="false">IF(OR(A903="",G903=""),"",F903*G903)</f>
        <v/>
      </c>
    </row>
    <row r="904" customFormat="false" ht="15" hidden="false" customHeight="false" outlineLevel="0" collapsed="false">
      <c r="A904" s="11"/>
      <c r="B904" s="12" t="str">
        <f aca="false">IF(A904="","",IFERROR(INDEX(Productos!$D$2:$D$1001,MATCH(A904,Productos!$A$2:$A$1001,0))&amp;" — "&amp;INDEX(Productos!$E$2:$E$1001,MATCH(A904,Productos!$A$2:$A$1001,0)),"SKU no existe en Productos"))</f>
        <v/>
      </c>
      <c r="C904" s="11"/>
      <c r="D904" s="11"/>
      <c r="E904" s="11"/>
      <c r="F904" s="12" t="str">
        <f aca="false">IF(A904="","",SUM(C904:E904))</f>
        <v/>
      </c>
      <c r="G904" s="16" t="str">
        <f aca="false">IF(A904="","",IFERROR(INDEX(Productos!$K$2:$K$1001,MATCH(A904,Productos!$A$2:$A$1001,0)),""))</f>
        <v/>
      </c>
      <c r="H904" s="16" t="str">
        <f aca="false">IF(OR(A904="",G904=""),"",F904*G904)</f>
        <v/>
      </c>
    </row>
    <row r="905" customFormat="false" ht="15" hidden="false" customHeight="false" outlineLevel="0" collapsed="false">
      <c r="A905" s="11"/>
      <c r="B905" s="12" t="str">
        <f aca="false">IF(A905="","",IFERROR(INDEX(Productos!$D$2:$D$1001,MATCH(A905,Productos!$A$2:$A$1001,0))&amp;" — "&amp;INDEX(Productos!$E$2:$E$1001,MATCH(A905,Productos!$A$2:$A$1001,0)),"SKU no existe en Productos"))</f>
        <v/>
      </c>
      <c r="C905" s="11"/>
      <c r="D905" s="11"/>
      <c r="E905" s="11"/>
      <c r="F905" s="12" t="str">
        <f aca="false">IF(A905="","",SUM(C905:E905))</f>
        <v/>
      </c>
      <c r="G905" s="16" t="str">
        <f aca="false">IF(A905="","",IFERROR(INDEX(Productos!$K$2:$K$1001,MATCH(A905,Productos!$A$2:$A$1001,0)),""))</f>
        <v/>
      </c>
      <c r="H905" s="16" t="str">
        <f aca="false">IF(OR(A905="",G905=""),"",F905*G905)</f>
        <v/>
      </c>
    </row>
    <row r="906" customFormat="false" ht="15" hidden="false" customHeight="false" outlineLevel="0" collapsed="false">
      <c r="A906" s="11"/>
      <c r="B906" s="12" t="str">
        <f aca="false">IF(A906="","",IFERROR(INDEX(Productos!$D$2:$D$1001,MATCH(A906,Productos!$A$2:$A$1001,0))&amp;" — "&amp;INDEX(Productos!$E$2:$E$1001,MATCH(A906,Productos!$A$2:$A$1001,0)),"SKU no existe en Productos"))</f>
        <v/>
      </c>
      <c r="C906" s="11"/>
      <c r="D906" s="11"/>
      <c r="E906" s="11"/>
      <c r="F906" s="12" t="str">
        <f aca="false">IF(A906="","",SUM(C906:E906))</f>
        <v/>
      </c>
      <c r="G906" s="16" t="str">
        <f aca="false">IF(A906="","",IFERROR(INDEX(Productos!$K$2:$K$1001,MATCH(A906,Productos!$A$2:$A$1001,0)),""))</f>
        <v/>
      </c>
      <c r="H906" s="16" t="str">
        <f aca="false">IF(OR(A906="",G906=""),"",F906*G906)</f>
        <v/>
      </c>
    </row>
    <row r="907" customFormat="false" ht="15" hidden="false" customHeight="false" outlineLevel="0" collapsed="false">
      <c r="A907" s="11"/>
      <c r="B907" s="12" t="str">
        <f aca="false">IF(A907="","",IFERROR(INDEX(Productos!$D$2:$D$1001,MATCH(A907,Productos!$A$2:$A$1001,0))&amp;" — "&amp;INDEX(Productos!$E$2:$E$1001,MATCH(A907,Productos!$A$2:$A$1001,0)),"SKU no existe en Productos"))</f>
        <v/>
      </c>
      <c r="C907" s="11"/>
      <c r="D907" s="11"/>
      <c r="E907" s="11"/>
      <c r="F907" s="12" t="str">
        <f aca="false">IF(A907="","",SUM(C907:E907))</f>
        <v/>
      </c>
      <c r="G907" s="16" t="str">
        <f aca="false">IF(A907="","",IFERROR(INDEX(Productos!$K$2:$K$1001,MATCH(A907,Productos!$A$2:$A$1001,0)),""))</f>
        <v/>
      </c>
      <c r="H907" s="16" t="str">
        <f aca="false">IF(OR(A907="",G907=""),"",F907*G907)</f>
        <v/>
      </c>
    </row>
    <row r="908" customFormat="false" ht="15" hidden="false" customHeight="false" outlineLevel="0" collapsed="false">
      <c r="A908" s="11"/>
      <c r="B908" s="12" t="str">
        <f aca="false">IF(A908="","",IFERROR(INDEX(Productos!$D$2:$D$1001,MATCH(A908,Productos!$A$2:$A$1001,0))&amp;" — "&amp;INDEX(Productos!$E$2:$E$1001,MATCH(A908,Productos!$A$2:$A$1001,0)),"SKU no existe en Productos"))</f>
        <v/>
      </c>
      <c r="C908" s="11"/>
      <c r="D908" s="11"/>
      <c r="E908" s="11"/>
      <c r="F908" s="12" t="str">
        <f aca="false">IF(A908="","",SUM(C908:E908))</f>
        <v/>
      </c>
      <c r="G908" s="16" t="str">
        <f aca="false">IF(A908="","",IFERROR(INDEX(Productos!$K$2:$K$1001,MATCH(A908,Productos!$A$2:$A$1001,0)),""))</f>
        <v/>
      </c>
      <c r="H908" s="16" t="str">
        <f aca="false">IF(OR(A908="",G908=""),"",F908*G908)</f>
        <v/>
      </c>
    </row>
    <row r="909" customFormat="false" ht="15" hidden="false" customHeight="false" outlineLevel="0" collapsed="false">
      <c r="A909" s="11"/>
      <c r="B909" s="12" t="str">
        <f aca="false">IF(A909="","",IFERROR(INDEX(Productos!$D$2:$D$1001,MATCH(A909,Productos!$A$2:$A$1001,0))&amp;" — "&amp;INDEX(Productos!$E$2:$E$1001,MATCH(A909,Productos!$A$2:$A$1001,0)),"SKU no existe en Productos"))</f>
        <v/>
      </c>
      <c r="C909" s="11"/>
      <c r="D909" s="11"/>
      <c r="E909" s="11"/>
      <c r="F909" s="12" t="str">
        <f aca="false">IF(A909="","",SUM(C909:E909))</f>
        <v/>
      </c>
      <c r="G909" s="16" t="str">
        <f aca="false">IF(A909="","",IFERROR(INDEX(Productos!$K$2:$K$1001,MATCH(A909,Productos!$A$2:$A$1001,0)),""))</f>
        <v/>
      </c>
      <c r="H909" s="16" t="str">
        <f aca="false">IF(OR(A909="",G909=""),"",F909*G909)</f>
        <v/>
      </c>
    </row>
    <row r="910" customFormat="false" ht="15" hidden="false" customHeight="false" outlineLevel="0" collapsed="false">
      <c r="A910" s="11"/>
      <c r="B910" s="12" t="str">
        <f aca="false">IF(A910="","",IFERROR(INDEX(Productos!$D$2:$D$1001,MATCH(A910,Productos!$A$2:$A$1001,0))&amp;" — "&amp;INDEX(Productos!$E$2:$E$1001,MATCH(A910,Productos!$A$2:$A$1001,0)),"SKU no existe en Productos"))</f>
        <v/>
      </c>
      <c r="C910" s="11"/>
      <c r="D910" s="11"/>
      <c r="E910" s="11"/>
      <c r="F910" s="12" t="str">
        <f aca="false">IF(A910="","",SUM(C910:E910))</f>
        <v/>
      </c>
      <c r="G910" s="16" t="str">
        <f aca="false">IF(A910="","",IFERROR(INDEX(Productos!$K$2:$K$1001,MATCH(A910,Productos!$A$2:$A$1001,0)),""))</f>
        <v/>
      </c>
      <c r="H910" s="16" t="str">
        <f aca="false">IF(OR(A910="",G910=""),"",F910*G910)</f>
        <v/>
      </c>
    </row>
    <row r="911" customFormat="false" ht="15" hidden="false" customHeight="false" outlineLevel="0" collapsed="false">
      <c r="A911" s="11"/>
      <c r="B911" s="12" t="str">
        <f aca="false">IF(A911="","",IFERROR(INDEX(Productos!$D$2:$D$1001,MATCH(A911,Productos!$A$2:$A$1001,0))&amp;" — "&amp;INDEX(Productos!$E$2:$E$1001,MATCH(A911,Productos!$A$2:$A$1001,0)),"SKU no existe en Productos"))</f>
        <v/>
      </c>
      <c r="C911" s="11"/>
      <c r="D911" s="11"/>
      <c r="E911" s="11"/>
      <c r="F911" s="12" t="str">
        <f aca="false">IF(A911="","",SUM(C911:E911))</f>
        <v/>
      </c>
      <c r="G911" s="16" t="str">
        <f aca="false">IF(A911="","",IFERROR(INDEX(Productos!$K$2:$K$1001,MATCH(A911,Productos!$A$2:$A$1001,0)),""))</f>
        <v/>
      </c>
      <c r="H911" s="16" t="str">
        <f aca="false">IF(OR(A911="",G911=""),"",F911*G911)</f>
        <v/>
      </c>
    </row>
    <row r="912" customFormat="false" ht="15" hidden="false" customHeight="false" outlineLevel="0" collapsed="false">
      <c r="A912" s="11"/>
      <c r="B912" s="12" t="str">
        <f aca="false">IF(A912="","",IFERROR(INDEX(Productos!$D$2:$D$1001,MATCH(A912,Productos!$A$2:$A$1001,0))&amp;" — "&amp;INDEX(Productos!$E$2:$E$1001,MATCH(A912,Productos!$A$2:$A$1001,0)),"SKU no existe en Productos"))</f>
        <v/>
      </c>
      <c r="C912" s="11"/>
      <c r="D912" s="11"/>
      <c r="E912" s="11"/>
      <c r="F912" s="12" t="str">
        <f aca="false">IF(A912="","",SUM(C912:E912))</f>
        <v/>
      </c>
      <c r="G912" s="16" t="str">
        <f aca="false">IF(A912="","",IFERROR(INDEX(Productos!$K$2:$K$1001,MATCH(A912,Productos!$A$2:$A$1001,0)),""))</f>
        <v/>
      </c>
      <c r="H912" s="16" t="str">
        <f aca="false">IF(OR(A912="",G912=""),"",F912*G912)</f>
        <v/>
      </c>
    </row>
    <row r="913" customFormat="false" ht="15" hidden="false" customHeight="false" outlineLevel="0" collapsed="false">
      <c r="A913" s="11"/>
      <c r="B913" s="12" t="str">
        <f aca="false">IF(A913="","",IFERROR(INDEX(Productos!$D$2:$D$1001,MATCH(A913,Productos!$A$2:$A$1001,0))&amp;" — "&amp;INDEX(Productos!$E$2:$E$1001,MATCH(A913,Productos!$A$2:$A$1001,0)),"SKU no existe en Productos"))</f>
        <v/>
      </c>
      <c r="C913" s="11"/>
      <c r="D913" s="11"/>
      <c r="E913" s="11"/>
      <c r="F913" s="12" t="str">
        <f aca="false">IF(A913="","",SUM(C913:E913))</f>
        <v/>
      </c>
      <c r="G913" s="16" t="str">
        <f aca="false">IF(A913="","",IFERROR(INDEX(Productos!$K$2:$K$1001,MATCH(A913,Productos!$A$2:$A$1001,0)),""))</f>
        <v/>
      </c>
      <c r="H913" s="16" t="str">
        <f aca="false">IF(OR(A913="",G913=""),"",F913*G913)</f>
        <v/>
      </c>
    </row>
    <row r="914" customFormat="false" ht="15" hidden="false" customHeight="false" outlineLevel="0" collapsed="false">
      <c r="A914" s="11"/>
      <c r="B914" s="12" t="str">
        <f aca="false">IF(A914="","",IFERROR(INDEX(Productos!$D$2:$D$1001,MATCH(A914,Productos!$A$2:$A$1001,0))&amp;" — "&amp;INDEX(Productos!$E$2:$E$1001,MATCH(A914,Productos!$A$2:$A$1001,0)),"SKU no existe en Productos"))</f>
        <v/>
      </c>
      <c r="C914" s="11"/>
      <c r="D914" s="11"/>
      <c r="E914" s="11"/>
      <c r="F914" s="12" t="str">
        <f aca="false">IF(A914="","",SUM(C914:E914))</f>
        <v/>
      </c>
      <c r="G914" s="16" t="str">
        <f aca="false">IF(A914="","",IFERROR(INDEX(Productos!$K$2:$K$1001,MATCH(A914,Productos!$A$2:$A$1001,0)),""))</f>
        <v/>
      </c>
      <c r="H914" s="16" t="str">
        <f aca="false">IF(OR(A914="",G914=""),"",F914*G914)</f>
        <v/>
      </c>
    </row>
    <row r="915" customFormat="false" ht="15" hidden="false" customHeight="false" outlineLevel="0" collapsed="false">
      <c r="A915" s="11"/>
      <c r="B915" s="12" t="str">
        <f aca="false">IF(A915="","",IFERROR(INDEX(Productos!$D$2:$D$1001,MATCH(A915,Productos!$A$2:$A$1001,0))&amp;" — "&amp;INDEX(Productos!$E$2:$E$1001,MATCH(A915,Productos!$A$2:$A$1001,0)),"SKU no existe en Productos"))</f>
        <v/>
      </c>
      <c r="C915" s="11"/>
      <c r="D915" s="11"/>
      <c r="E915" s="11"/>
      <c r="F915" s="12" t="str">
        <f aca="false">IF(A915="","",SUM(C915:E915))</f>
        <v/>
      </c>
      <c r="G915" s="16" t="str">
        <f aca="false">IF(A915="","",IFERROR(INDEX(Productos!$K$2:$K$1001,MATCH(A915,Productos!$A$2:$A$1001,0)),""))</f>
        <v/>
      </c>
      <c r="H915" s="16" t="str">
        <f aca="false">IF(OR(A915="",G915=""),"",F915*G915)</f>
        <v/>
      </c>
    </row>
    <row r="916" customFormat="false" ht="15" hidden="false" customHeight="false" outlineLevel="0" collapsed="false">
      <c r="A916" s="11"/>
      <c r="B916" s="12" t="str">
        <f aca="false">IF(A916="","",IFERROR(INDEX(Productos!$D$2:$D$1001,MATCH(A916,Productos!$A$2:$A$1001,0))&amp;" — "&amp;INDEX(Productos!$E$2:$E$1001,MATCH(A916,Productos!$A$2:$A$1001,0)),"SKU no existe en Productos"))</f>
        <v/>
      </c>
      <c r="C916" s="11"/>
      <c r="D916" s="11"/>
      <c r="E916" s="11"/>
      <c r="F916" s="12" t="str">
        <f aca="false">IF(A916="","",SUM(C916:E916))</f>
        <v/>
      </c>
      <c r="G916" s="16" t="str">
        <f aca="false">IF(A916="","",IFERROR(INDEX(Productos!$K$2:$K$1001,MATCH(A916,Productos!$A$2:$A$1001,0)),""))</f>
        <v/>
      </c>
      <c r="H916" s="16" t="str">
        <f aca="false">IF(OR(A916="",G916=""),"",F916*G916)</f>
        <v/>
      </c>
    </row>
    <row r="917" customFormat="false" ht="15" hidden="false" customHeight="false" outlineLevel="0" collapsed="false">
      <c r="A917" s="11"/>
      <c r="B917" s="12" t="str">
        <f aca="false">IF(A917="","",IFERROR(INDEX(Productos!$D$2:$D$1001,MATCH(A917,Productos!$A$2:$A$1001,0))&amp;" — "&amp;INDEX(Productos!$E$2:$E$1001,MATCH(A917,Productos!$A$2:$A$1001,0)),"SKU no existe en Productos"))</f>
        <v/>
      </c>
      <c r="C917" s="11"/>
      <c r="D917" s="11"/>
      <c r="E917" s="11"/>
      <c r="F917" s="12" t="str">
        <f aca="false">IF(A917="","",SUM(C917:E917))</f>
        <v/>
      </c>
      <c r="G917" s="16" t="str">
        <f aca="false">IF(A917="","",IFERROR(INDEX(Productos!$K$2:$K$1001,MATCH(A917,Productos!$A$2:$A$1001,0)),""))</f>
        <v/>
      </c>
      <c r="H917" s="16" t="str">
        <f aca="false">IF(OR(A917="",G917=""),"",F917*G917)</f>
        <v/>
      </c>
    </row>
    <row r="918" customFormat="false" ht="15" hidden="false" customHeight="false" outlineLevel="0" collapsed="false">
      <c r="A918" s="11"/>
      <c r="B918" s="12" t="str">
        <f aca="false">IF(A918="","",IFERROR(INDEX(Productos!$D$2:$D$1001,MATCH(A918,Productos!$A$2:$A$1001,0))&amp;" — "&amp;INDEX(Productos!$E$2:$E$1001,MATCH(A918,Productos!$A$2:$A$1001,0)),"SKU no existe en Productos"))</f>
        <v/>
      </c>
      <c r="C918" s="11"/>
      <c r="D918" s="11"/>
      <c r="E918" s="11"/>
      <c r="F918" s="12" t="str">
        <f aca="false">IF(A918="","",SUM(C918:E918))</f>
        <v/>
      </c>
      <c r="G918" s="16" t="str">
        <f aca="false">IF(A918="","",IFERROR(INDEX(Productos!$K$2:$K$1001,MATCH(A918,Productos!$A$2:$A$1001,0)),""))</f>
        <v/>
      </c>
      <c r="H918" s="16" t="str">
        <f aca="false">IF(OR(A918="",G918=""),"",F918*G918)</f>
        <v/>
      </c>
    </row>
    <row r="919" customFormat="false" ht="15" hidden="false" customHeight="false" outlineLevel="0" collapsed="false">
      <c r="A919" s="11"/>
      <c r="B919" s="12" t="str">
        <f aca="false">IF(A919="","",IFERROR(INDEX(Productos!$D$2:$D$1001,MATCH(A919,Productos!$A$2:$A$1001,0))&amp;" — "&amp;INDEX(Productos!$E$2:$E$1001,MATCH(A919,Productos!$A$2:$A$1001,0)),"SKU no existe en Productos"))</f>
        <v/>
      </c>
      <c r="C919" s="11"/>
      <c r="D919" s="11"/>
      <c r="E919" s="11"/>
      <c r="F919" s="12" t="str">
        <f aca="false">IF(A919="","",SUM(C919:E919))</f>
        <v/>
      </c>
      <c r="G919" s="16" t="str">
        <f aca="false">IF(A919="","",IFERROR(INDEX(Productos!$K$2:$K$1001,MATCH(A919,Productos!$A$2:$A$1001,0)),""))</f>
        <v/>
      </c>
      <c r="H919" s="16" t="str">
        <f aca="false">IF(OR(A919="",G919=""),"",F919*G919)</f>
        <v/>
      </c>
    </row>
    <row r="920" customFormat="false" ht="15" hidden="false" customHeight="false" outlineLevel="0" collapsed="false">
      <c r="A920" s="11"/>
      <c r="B920" s="12" t="str">
        <f aca="false">IF(A920="","",IFERROR(INDEX(Productos!$D$2:$D$1001,MATCH(A920,Productos!$A$2:$A$1001,0))&amp;" — "&amp;INDEX(Productos!$E$2:$E$1001,MATCH(A920,Productos!$A$2:$A$1001,0)),"SKU no existe en Productos"))</f>
        <v/>
      </c>
      <c r="C920" s="11"/>
      <c r="D920" s="11"/>
      <c r="E920" s="11"/>
      <c r="F920" s="12" t="str">
        <f aca="false">IF(A920="","",SUM(C920:E920))</f>
        <v/>
      </c>
      <c r="G920" s="16" t="str">
        <f aca="false">IF(A920="","",IFERROR(INDEX(Productos!$K$2:$K$1001,MATCH(A920,Productos!$A$2:$A$1001,0)),""))</f>
        <v/>
      </c>
      <c r="H920" s="16" t="str">
        <f aca="false">IF(OR(A920="",G920=""),"",F920*G920)</f>
        <v/>
      </c>
    </row>
    <row r="921" customFormat="false" ht="15" hidden="false" customHeight="false" outlineLevel="0" collapsed="false">
      <c r="A921" s="11"/>
      <c r="B921" s="12" t="str">
        <f aca="false">IF(A921="","",IFERROR(INDEX(Productos!$D$2:$D$1001,MATCH(A921,Productos!$A$2:$A$1001,0))&amp;" — "&amp;INDEX(Productos!$E$2:$E$1001,MATCH(A921,Productos!$A$2:$A$1001,0)),"SKU no existe en Productos"))</f>
        <v/>
      </c>
      <c r="C921" s="11"/>
      <c r="D921" s="11"/>
      <c r="E921" s="11"/>
      <c r="F921" s="12" t="str">
        <f aca="false">IF(A921="","",SUM(C921:E921))</f>
        <v/>
      </c>
      <c r="G921" s="16" t="str">
        <f aca="false">IF(A921="","",IFERROR(INDEX(Productos!$K$2:$K$1001,MATCH(A921,Productos!$A$2:$A$1001,0)),""))</f>
        <v/>
      </c>
      <c r="H921" s="16" t="str">
        <f aca="false">IF(OR(A921="",G921=""),"",F921*G921)</f>
        <v/>
      </c>
    </row>
    <row r="922" customFormat="false" ht="15" hidden="false" customHeight="false" outlineLevel="0" collapsed="false">
      <c r="A922" s="11"/>
      <c r="B922" s="12" t="str">
        <f aca="false">IF(A922="","",IFERROR(INDEX(Productos!$D$2:$D$1001,MATCH(A922,Productos!$A$2:$A$1001,0))&amp;" — "&amp;INDEX(Productos!$E$2:$E$1001,MATCH(A922,Productos!$A$2:$A$1001,0)),"SKU no existe en Productos"))</f>
        <v/>
      </c>
      <c r="C922" s="11"/>
      <c r="D922" s="11"/>
      <c r="E922" s="11"/>
      <c r="F922" s="12" t="str">
        <f aca="false">IF(A922="","",SUM(C922:E922))</f>
        <v/>
      </c>
      <c r="G922" s="16" t="str">
        <f aca="false">IF(A922="","",IFERROR(INDEX(Productos!$K$2:$K$1001,MATCH(A922,Productos!$A$2:$A$1001,0)),""))</f>
        <v/>
      </c>
      <c r="H922" s="16" t="str">
        <f aca="false">IF(OR(A922="",G922=""),"",F922*G922)</f>
        <v/>
      </c>
    </row>
    <row r="923" customFormat="false" ht="15" hidden="false" customHeight="false" outlineLevel="0" collapsed="false">
      <c r="A923" s="11"/>
      <c r="B923" s="12" t="str">
        <f aca="false">IF(A923="","",IFERROR(INDEX(Productos!$D$2:$D$1001,MATCH(A923,Productos!$A$2:$A$1001,0))&amp;" — "&amp;INDEX(Productos!$E$2:$E$1001,MATCH(A923,Productos!$A$2:$A$1001,0)),"SKU no existe en Productos"))</f>
        <v/>
      </c>
      <c r="C923" s="11"/>
      <c r="D923" s="11"/>
      <c r="E923" s="11"/>
      <c r="F923" s="12" t="str">
        <f aca="false">IF(A923="","",SUM(C923:E923))</f>
        <v/>
      </c>
      <c r="G923" s="16" t="str">
        <f aca="false">IF(A923="","",IFERROR(INDEX(Productos!$K$2:$K$1001,MATCH(A923,Productos!$A$2:$A$1001,0)),""))</f>
        <v/>
      </c>
      <c r="H923" s="16" t="str">
        <f aca="false">IF(OR(A923="",G923=""),"",F923*G923)</f>
        <v/>
      </c>
    </row>
    <row r="924" customFormat="false" ht="15" hidden="false" customHeight="false" outlineLevel="0" collapsed="false">
      <c r="A924" s="11"/>
      <c r="B924" s="12" t="str">
        <f aca="false">IF(A924="","",IFERROR(INDEX(Productos!$D$2:$D$1001,MATCH(A924,Productos!$A$2:$A$1001,0))&amp;" — "&amp;INDEX(Productos!$E$2:$E$1001,MATCH(A924,Productos!$A$2:$A$1001,0)),"SKU no existe en Productos"))</f>
        <v/>
      </c>
      <c r="C924" s="11"/>
      <c r="D924" s="11"/>
      <c r="E924" s="11"/>
      <c r="F924" s="12" t="str">
        <f aca="false">IF(A924="","",SUM(C924:E924))</f>
        <v/>
      </c>
      <c r="G924" s="16" t="str">
        <f aca="false">IF(A924="","",IFERROR(INDEX(Productos!$K$2:$K$1001,MATCH(A924,Productos!$A$2:$A$1001,0)),""))</f>
        <v/>
      </c>
      <c r="H924" s="16" t="str">
        <f aca="false">IF(OR(A924="",G924=""),"",F924*G924)</f>
        <v/>
      </c>
    </row>
    <row r="925" customFormat="false" ht="15" hidden="false" customHeight="false" outlineLevel="0" collapsed="false">
      <c r="A925" s="11"/>
      <c r="B925" s="12" t="str">
        <f aca="false">IF(A925="","",IFERROR(INDEX(Productos!$D$2:$D$1001,MATCH(A925,Productos!$A$2:$A$1001,0))&amp;" — "&amp;INDEX(Productos!$E$2:$E$1001,MATCH(A925,Productos!$A$2:$A$1001,0)),"SKU no existe en Productos"))</f>
        <v/>
      </c>
      <c r="C925" s="11"/>
      <c r="D925" s="11"/>
      <c r="E925" s="11"/>
      <c r="F925" s="12" t="str">
        <f aca="false">IF(A925="","",SUM(C925:E925))</f>
        <v/>
      </c>
      <c r="G925" s="16" t="str">
        <f aca="false">IF(A925="","",IFERROR(INDEX(Productos!$K$2:$K$1001,MATCH(A925,Productos!$A$2:$A$1001,0)),""))</f>
        <v/>
      </c>
      <c r="H925" s="16" t="str">
        <f aca="false">IF(OR(A925="",G925=""),"",F925*G925)</f>
        <v/>
      </c>
    </row>
    <row r="926" customFormat="false" ht="15" hidden="false" customHeight="false" outlineLevel="0" collapsed="false">
      <c r="A926" s="11"/>
      <c r="B926" s="12" t="str">
        <f aca="false">IF(A926="","",IFERROR(INDEX(Productos!$D$2:$D$1001,MATCH(A926,Productos!$A$2:$A$1001,0))&amp;" — "&amp;INDEX(Productos!$E$2:$E$1001,MATCH(A926,Productos!$A$2:$A$1001,0)),"SKU no existe en Productos"))</f>
        <v/>
      </c>
      <c r="C926" s="11"/>
      <c r="D926" s="11"/>
      <c r="E926" s="11"/>
      <c r="F926" s="12" t="str">
        <f aca="false">IF(A926="","",SUM(C926:E926))</f>
        <v/>
      </c>
      <c r="G926" s="16" t="str">
        <f aca="false">IF(A926="","",IFERROR(INDEX(Productos!$K$2:$K$1001,MATCH(A926,Productos!$A$2:$A$1001,0)),""))</f>
        <v/>
      </c>
      <c r="H926" s="16" t="str">
        <f aca="false">IF(OR(A926="",G926=""),"",F926*G926)</f>
        <v/>
      </c>
    </row>
    <row r="927" customFormat="false" ht="15" hidden="false" customHeight="false" outlineLevel="0" collapsed="false">
      <c r="A927" s="11"/>
      <c r="B927" s="12" t="str">
        <f aca="false">IF(A927="","",IFERROR(INDEX(Productos!$D$2:$D$1001,MATCH(A927,Productos!$A$2:$A$1001,0))&amp;" — "&amp;INDEX(Productos!$E$2:$E$1001,MATCH(A927,Productos!$A$2:$A$1001,0)),"SKU no existe en Productos"))</f>
        <v/>
      </c>
      <c r="C927" s="11"/>
      <c r="D927" s="11"/>
      <c r="E927" s="11"/>
      <c r="F927" s="12" t="str">
        <f aca="false">IF(A927="","",SUM(C927:E927))</f>
        <v/>
      </c>
      <c r="G927" s="16" t="str">
        <f aca="false">IF(A927="","",IFERROR(INDEX(Productos!$K$2:$K$1001,MATCH(A927,Productos!$A$2:$A$1001,0)),""))</f>
        <v/>
      </c>
      <c r="H927" s="16" t="str">
        <f aca="false">IF(OR(A927="",G927=""),"",F927*G927)</f>
        <v/>
      </c>
    </row>
    <row r="928" customFormat="false" ht="15" hidden="false" customHeight="false" outlineLevel="0" collapsed="false">
      <c r="A928" s="11"/>
      <c r="B928" s="12" t="str">
        <f aca="false">IF(A928="","",IFERROR(INDEX(Productos!$D$2:$D$1001,MATCH(A928,Productos!$A$2:$A$1001,0))&amp;" — "&amp;INDEX(Productos!$E$2:$E$1001,MATCH(A928,Productos!$A$2:$A$1001,0)),"SKU no existe en Productos"))</f>
        <v/>
      </c>
      <c r="C928" s="11"/>
      <c r="D928" s="11"/>
      <c r="E928" s="11"/>
      <c r="F928" s="12" t="str">
        <f aca="false">IF(A928="","",SUM(C928:E928))</f>
        <v/>
      </c>
      <c r="G928" s="16" t="str">
        <f aca="false">IF(A928="","",IFERROR(INDEX(Productos!$K$2:$K$1001,MATCH(A928,Productos!$A$2:$A$1001,0)),""))</f>
        <v/>
      </c>
      <c r="H928" s="16" t="str">
        <f aca="false">IF(OR(A928="",G928=""),"",F928*G928)</f>
        <v/>
      </c>
    </row>
    <row r="929" customFormat="false" ht="15" hidden="false" customHeight="false" outlineLevel="0" collapsed="false">
      <c r="A929" s="11"/>
      <c r="B929" s="12" t="str">
        <f aca="false">IF(A929="","",IFERROR(INDEX(Productos!$D$2:$D$1001,MATCH(A929,Productos!$A$2:$A$1001,0))&amp;" — "&amp;INDEX(Productos!$E$2:$E$1001,MATCH(A929,Productos!$A$2:$A$1001,0)),"SKU no existe en Productos"))</f>
        <v/>
      </c>
      <c r="C929" s="11"/>
      <c r="D929" s="11"/>
      <c r="E929" s="11"/>
      <c r="F929" s="12" t="str">
        <f aca="false">IF(A929="","",SUM(C929:E929))</f>
        <v/>
      </c>
      <c r="G929" s="16" t="str">
        <f aca="false">IF(A929="","",IFERROR(INDEX(Productos!$K$2:$K$1001,MATCH(A929,Productos!$A$2:$A$1001,0)),""))</f>
        <v/>
      </c>
      <c r="H929" s="16" t="str">
        <f aca="false">IF(OR(A929="",G929=""),"",F929*G929)</f>
        <v/>
      </c>
    </row>
    <row r="930" customFormat="false" ht="15" hidden="false" customHeight="false" outlineLevel="0" collapsed="false">
      <c r="A930" s="11"/>
      <c r="B930" s="12" t="str">
        <f aca="false">IF(A930="","",IFERROR(INDEX(Productos!$D$2:$D$1001,MATCH(A930,Productos!$A$2:$A$1001,0))&amp;" — "&amp;INDEX(Productos!$E$2:$E$1001,MATCH(A930,Productos!$A$2:$A$1001,0)),"SKU no existe en Productos"))</f>
        <v/>
      </c>
      <c r="C930" s="11"/>
      <c r="D930" s="11"/>
      <c r="E930" s="11"/>
      <c r="F930" s="12" t="str">
        <f aca="false">IF(A930="","",SUM(C930:E930))</f>
        <v/>
      </c>
      <c r="G930" s="16" t="str">
        <f aca="false">IF(A930="","",IFERROR(INDEX(Productos!$K$2:$K$1001,MATCH(A930,Productos!$A$2:$A$1001,0)),""))</f>
        <v/>
      </c>
      <c r="H930" s="16" t="str">
        <f aca="false">IF(OR(A930="",G930=""),"",F930*G930)</f>
        <v/>
      </c>
    </row>
    <row r="931" customFormat="false" ht="15" hidden="false" customHeight="false" outlineLevel="0" collapsed="false">
      <c r="A931" s="11"/>
      <c r="B931" s="12" t="str">
        <f aca="false">IF(A931="","",IFERROR(INDEX(Productos!$D$2:$D$1001,MATCH(A931,Productos!$A$2:$A$1001,0))&amp;" — "&amp;INDEX(Productos!$E$2:$E$1001,MATCH(A931,Productos!$A$2:$A$1001,0)),"SKU no existe en Productos"))</f>
        <v/>
      </c>
      <c r="C931" s="11"/>
      <c r="D931" s="11"/>
      <c r="E931" s="11"/>
      <c r="F931" s="12" t="str">
        <f aca="false">IF(A931="","",SUM(C931:E931))</f>
        <v/>
      </c>
      <c r="G931" s="16" t="str">
        <f aca="false">IF(A931="","",IFERROR(INDEX(Productos!$K$2:$K$1001,MATCH(A931,Productos!$A$2:$A$1001,0)),""))</f>
        <v/>
      </c>
      <c r="H931" s="16" t="str">
        <f aca="false">IF(OR(A931="",G931=""),"",F931*G931)</f>
        <v/>
      </c>
    </row>
    <row r="932" customFormat="false" ht="15" hidden="false" customHeight="false" outlineLevel="0" collapsed="false">
      <c r="A932" s="11"/>
      <c r="B932" s="12" t="str">
        <f aca="false">IF(A932="","",IFERROR(INDEX(Productos!$D$2:$D$1001,MATCH(A932,Productos!$A$2:$A$1001,0))&amp;" — "&amp;INDEX(Productos!$E$2:$E$1001,MATCH(A932,Productos!$A$2:$A$1001,0)),"SKU no existe en Productos"))</f>
        <v/>
      </c>
      <c r="C932" s="11"/>
      <c r="D932" s="11"/>
      <c r="E932" s="11"/>
      <c r="F932" s="12" t="str">
        <f aca="false">IF(A932="","",SUM(C932:E932))</f>
        <v/>
      </c>
      <c r="G932" s="16" t="str">
        <f aca="false">IF(A932="","",IFERROR(INDEX(Productos!$K$2:$K$1001,MATCH(A932,Productos!$A$2:$A$1001,0)),""))</f>
        <v/>
      </c>
      <c r="H932" s="16" t="str">
        <f aca="false">IF(OR(A932="",G932=""),"",F932*G932)</f>
        <v/>
      </c>
    </row>
    <row r="933" customFormat="false" ht="15" hidden="false" customHeight="false" outlineLevel="0" collapsed="false">
      <c r="A933" s="11"/>
      <c r="B933" s="12" t="str">
        <f aca="false">IF(A933="","",IFERROR(INDEX(Productos!$D$2:$D$1001,MATCH(A933,Productos!$A$2:$A$1001,0))&amp;" — "&amp;INDEX(Productos!$E$2:$E$1001,MATCH(A933,Productos!$A$2:$A$1001,0)),"SKU no existe en Productos"))</f>
        <v/>
      </c>
      <c r="C933" s="11"/>
      <c r="D933" s="11"/>
      <c r="E933" s="11"/>
      <c r="F933" s="12" t="str">
        <f aca="false">IF(A933="","",SUM(C933:E933))</f>
        <v/>
      </c>
      <c r="G933" s="16" t="str">
        <f aca="false">IF(A933="","",IFERROR(INDEX(Productos!$K$2:$K$1001,MATCH(A933,Productos!$A$2:$A$1001,0)),""))</f>
        <v/>
      </c>
      <c r="H933" s="16" t="str">
        <f aca="false">IF(OR(A933="",G933=""),"",F933*G933)</f>
        <v/>
      </c>
    </row>
    <row r="934" customFormat="false" ht="15" hidden="false" customHeight="false" outlineLevel="0" collapsed="false">
      <c r="A934" s="11"/>
      <c r="B934" s="12" t="str">
        <f aca="false">IF(A934="","",IFERROR(INDEX(Productos!$D$2:$D$1001,MATCH(A934,Productos!$A$2:$A$1001,0))&amp;" — "&amp;INDEX(Productos!$E$2:$E$1001,MATCH(A934,Productos!$A$2:$A$1001,0)),"SKU no existe en Productos"))</f>
        <v/>
      </c>
      <c r="C934" s="11"/>
      <c r="D934" s="11"/>
      <c r="E934" s="11"/>
      <c r="F934" s="12" t="str">
        <f aca="false">IF(A934="","",SUM(C934:E934))</f>
        <v/>
      </c>
      <c r="G934" s="16" t="str">
        <f aca="false">IF(A934="","",IFERROR(INDEX(Productos!$K$2:$K$1001,MATCH(A934,Productos!$A$2:$A$1001,0)),""))</f>
        <v/>
      </c>
      <c r="H934" s="16" t="str">
        <f aca="false">IF(OR(A934="",G934=""),"",F934*G934)</f>
        <v/>
      </c>
    </row>
    <row r="935" customFormat="false" ht="15" hidden="false" customHeight="false" outlineLevel="0" collapsed="false">
      <c r="A935" s="11"/>
      <c r="B935" s="12" t="str">
        <f aca="false">IF(A935="","",IFERROR(INDEX(Productos!$D$2:$D$1001,MATCH(A935,Productos!$A$2:$A$1001,0))&amp;" — "&amp;INDEX(Productos!$E$2:$E$1001,MATCH(A935,Productos!$A$2:$A$1001,0)),"SKU no existe en Productos"))</f>
        <v/>
      </c>
      <c r="C935" s="11"/>
      <c r="D935" s="11"/>
      <c r="E935" s="11"/>
      <c r="F935" s="12" t="str">
        <f aca="false">IF(A935="","",SUM(C935:E935))</f>
        <v/>
      </c>
      <c r="G935" s="16" t="str">
        <f aca="false">IF(A935="","",IFERROR(INDEX(Productos!$K$2:$K$1001,MATCH(A935,Productos!$A$2:$A$1001,0)),""))</f>
        <v/>
      </c>
      <c r="H935" s="16" t="str">
        <f aca="false">IF(OR(A935="",G935=""),"",F935*G935)</f>
        <v/>
      </c>
    </row>
    <row r="936" customFormat="false" ht="15" hidden="false" customHeight="false" outlineLevel="0" collapsed="false">
      <c r="A936" s="11"/>
      <c r="B936" s="12" t="str">
        <f aca="false">IF(A936="","",IFERROR(INDEX(Productos!$D$2:$D$1001,MATCH(A936,Productos!$A$2:$A$1001,0))&amp;" — "&amp;INDEX(Productos!$E$2:$E$1001,MATCH(A936,Productos!$A$2:$A$1001,0)),"SKU no existe en Productos"))</f>
        <v/>
      </c>
      <c r="C936" s="11"/>
      <c r="D936" s="11"/>
      <c r="E936" s="11"/>
      <c r="F936" s="12" t="str">
        <f aca="false">IF(A936="","",SUM(C936:E936))</f>
        <v/>
      </c>
      <c r="G936" s="16" t="str">
        <f aca="false">IF(A936="","",IFERROR(INDEX(Productos!$K$2:$K$1001,MATCH(A936,Productos!$A$2:$A$1001,0)),""))</f>
        <v/>
      </c>
      <c r="H936" s="16" t="str">
        <f aca="false">IF(OR(A936="",G936=""),"",F936*G936)</f>
        <v/>
      </c>
    </row>
    <row r="937" customFormat="false" ht="15" hidden="false" customHeight="false" outlineLevel="0" collapsed="false">
      <c r="A937" s="11"/>
      <c r="B937" s="12" t="str">
        <f aca="false">IF(A937="","",IFERROR(INDEX(Productos!$D$2:$D$1001,MATCH(A937,Productos!$A$2:$A$1001,0))&amp;" — "&amp;INDEX(Productos!$E$2:$E$1001,MATCH(A937,Productos!$A$2:$A$1001,0)),"SKU no existe en Productos"))</f>
        <v/>
      </c>
      <c r="C937" s="11"/>
      <c r="D937" s="11"/>
      <c r="E937" s="11"/>
      <c r="F937" s="12" t="str">
        <f aca="false">IF(A937="","",SUM(C937:E937))</f>
        <v/>
      </c>
      <c r="G937" s="16" t="str">
        <f aca="false">IF(A937="","",IFERROR(INDEX(Productos!$K$2:$K$1001,MATCH(A937,Productos!$A$2:$A$1001,0)),""))</f>
        <v/>
      </c>
      <c r="H937" s="16" t="str">
        <f aca="false">IF(OR(A937="",G937=""),"",F937*G937)</f>
        <v/>
      </c>
    </row>
    <row r="938" customFormat="false" ht="15" hidden="false" customHeight="false" outlineLevel="0" collapsed="false">
      <c r="A938" s="11"/>
      <c r="B938" s="12" t="str">
        <f aca="false">IF(A938="","",IFERROR(INDEX(Productos!$D$2:$D$1001,MATCH(A938,Productos!$A$2:$A$1001,0))&amp;" — "&amp;INDEX(Productos!$E$2:$E$1001,MATCH(A938,Productos!$A$2:$A$1001,0)),"SKU no existe en Productos"))</f>
        <v/>
      </c>
      <c r="C938" s="11"/>
      <c r="D938" s="11"/>
      <c r="E938" s="11"/>
      <c r="F938" s="12" t="str">
        <f aca="false">IF(A938="","",SUM(C938:E938))</f>
        <v/>
      </c>
      <c r="G938" s="16" t="str">
        <f aca="false">IF(A938="","",IFERROR(INDEX(Productos!$K$2:$K$1001,MATCH(A938,Productos!$A$2:$A$1001,0)),""))</f>
        <v/>
      </c>
      <c r="H938" s="16" t="str">
        <f aca="false">IF(OR(A938="",G938=""),"",F938*G938)</f>
        <v/>
      </c>
    </row>
    <row r="939" customFormat="false" ht="15" hidden="false" customHeight="false" outlineLevel="0" collapsed="false">
      <c r="A939" s="11"/>
      <c r="B939" s="12" t="str">
        <f aca="false">IF(A939="","",IFERROR(INDEX(Productos!$D$2:$D$1001,MATCH(A939,Productos!$A$2:$A$1001,0))&amp;" — "&amp;INDEX(Productos!$E$2:$E$1001,MATCH(A939,Productos!$A$2:$A$1001,0)),"SKU no existe en Productos"))</f>
        <v/>
      </c>
      <c r="C939" s="11"/>
      <c r="D939" s="11"/>
      <c r="E939" s="11"/>
      <c r="F939" s="12" t="str">
        <f aca="false">IF(A939="","",SUM(C939:E939))</f>
        <v/>
      </c>
      <c r="G939" s="16" t="str">
        <f aca="false">IF(A939="","",IFERROR(INDEX(Productos!$K$2:$K$1001,MATCH(A939,Productos!$A$2:$A$1001,0)),""))</f>
        <v/>
      </c>
      <c r="H939" s="16" t="str">
        <f aca="false">IF(OR(A939="",G939=""),"",F939*G939)</f>
        <v/>
      </c>
    </row>
    <row r="940" customFormat="false" ht="15" hidden="false" customHeight="false" outlineLevel="0" collapsed="false">
      <c r="A940" s="11"/>
      <c r="B940" s="12" t="str">
        <f aca="false">IF(A940="","",IFERROR(INDEX(Productos!$D$2:$D$1001,MATCH(A940,Productos!$A$2:$A$1001,0))&amp;" — "&amp;INDEX(Productos!$E$2:$E$1001,MATCH(A940,Productos!$A$2:$A$1001,0)),"SKU no existe en Productos"))</f>
        <v/>
      </c>
      <c r="C940" s="11"/>
      <c r="D940" s="11"/>
      <c r="E940" s="11"/>
      <c r="F940" s="12" t="str">
        <f aca="false">IF(A940="","",SUM(C940:E940))</f>
        <v/>
      </c>
      <c r="G940" s="16" t="str">
        <f aca="false">IF(A940="","",IFERROR(INDEX(Productos!$K$2:$K$1001,MATCH(A940,Productos!$A$2:$A$1001,0)),""))</f>
        <v/>
      </c>
      <c r="H940" s="16" t="str">
        <f aca="false">IF(OR(A940="",G940=""),"",F940*G940)</f>
        <v/>
      </c>
    </row>
    <row r="941" customFormat="false" ht="15" hidden="false" customHeight="false" outlineLevel="0" collapsed="false">
      <c r="A941" s="11"/>
      <c r="B941" s="12" t="str">
        <f aca="false">IF(A941="","",IFERROR(INDEX(Productos!$D$2:$D$1001,MATCH(A941,Productos!$A$2:$A$1001,0))&amp;" — "&amp;INDEX(Productos!$E$2:$E$1001,MATCH(A941,Productos!$A$2:$A$1001,0)),"SKU no existe en Productos"))</f>
        <v/>
      </c>
      <c r="C941" s="11"/>
      <c r="D941" s="11"/>
      <c r="E941" s="11"/>
      <c r="F941" s="12" t="str">
        <f aca="false">IF(A941="","",SUM(C941:E941))</f>
        <v/>
      </c>
      <c r="G941" s="16" t="str">
        <f aca="false">IF(A941="","",IFERROR(INDEX(Productos!$K$2:$K$1001,MATCH(A941,Productos!$A$2:$A$1001,0)),""))</f>
        <v/>
      </c>
      <c r="H941" s="16" t="str">
        <f aca="false">IF(OR(A941="",G941=""),"",F941*G941)</f>
        <v/>
      </c>
    </row>
    <row r="942" customFormat="false" ht="15" hidden="false" customHeight="false" outlineLevel="0" collapsed="false">
      <c r="A942" s="11"/>
      <c r="B942" s="12" t="str">
        <f aca="false">IF(A942="","",IFERROR(INDEX(Productos!$D$2:$D$1001,MATCH(A942,Productos!$A$2:$A$1001,0))&amp;" — "&amp;INDEX(Productos!$E$2:$E$1001,MATCH(A942,Productos!$A$2:$A$1001,0)),"SKU no existe en Productos"))</f>
        <v/>
      </c>
      <c r="C942" s="11"/>
      <c r="D942" s="11"/>
      <c r="E942" s="11"/>
      <c r="F942" s="12" t="str">
        <f aca="false">IF(A942="","",SUM(C942:E942))</f>
        <v/>
      </c>
      <c r="G942" s="16" t="str">
        <f aca="false">IF(A942="","",IFERROR(INDEX(Productos!$K$2:$K$1001,MATCH(A942,Productos!$A$2:$A$1001,0)),""))</f>
        <v/>
      </c>
      <c r="H942" s="16" t="str">
        <f aca="false">IF(OR(A942="",G942=""),"",F942*G942)</f>
        <v/>
      </c>
    </row>
    <row r="943" customFormat="false" ht="15" hidden="false" customHeight="false" outlineLevel="0" collapsed="false">
      <c r="A943" s="11"/>
      <c r="B943" s="12" t="str">
        <f aca="false">IF(A943="","",IFERROR(INDEX(Productos!$D$2:$D$1001,MATCH(A943,Productos!$A$2:$A$1001,0))&amp;" — "&amp;INDEX(Productos!$E$2:$E$1001,MATCH(A943,Productos!$A$2:$A$1001,0)),"SKU no existe en Productos"))</f>
        <v/>
      </c>
      <c r="C943" s="11"/>
      <c r="D943" s="11"/>
      <c r="E943" s="11"/>
      <c r="F943" s="12" t="str">
        <f aca="false">IF(A943="","",SUM(C943:E943))</f>
        <v/>
      </c>
      <c r="G943" s="16" t="str">
        <f aca="false">IF(A943="","",IFERROR(INDEX(Productos!$K$2:$K$1001,MATCH(A943,Productos!$A$2:$A$1001,0)),""))</f>
        <v/>
      </c>
      <c r="H943" s="16" t="str">
        <f aca="false">IF(OR(A943="",G943=""),"",F943*G943)</f>
        <v/>
      </c>
    </row>
    <row r="944" customFormat="false" ht="15" hidden="false" customHeight="false" outlineLevel="0" collapsed="false">
      <c r="A944" s="11"/>
      <c r="B944" s="12" t="str">
        <f aca="false">IF(A944="","",IFERROR(INDEX(Productos!$D$2:$D$1001,MATCH(A944,Productos!$A$2:$A$1001,0))&amp;" — "&amp;INDEX(Productos!$E$2:$E$1001,MATCH(A944,Productos!$A$2:$A$1001,0)),"SKU no existe en Productos"))</f>
        <v/>
      </c>
      <c r="C944" s="11"/>
      <c r="D944" s="11"/>
      <c r="E944" s="11"/>
      <c r="F944" s="12" t="str">
        <f aca="false">IF(A944="","",SUM(C944:E944))</f>
        <v/>
      </c>
      <c r="G944" s="16" t="str">
        <f aca="false">IF(A944="","",IFERROR(INDEX(Productos!$K$2:$K$1001,MATCH(A944,Productos!$A$2:$A$1001,0)),""))</f>
        <v/>
      </c>
      <c r="H944" s="16" t="str">
        <f aca="false">IF(OR(A944="",G944=""),"",F944*G944)</f>
        <v/>
      </c>
    </row>
    <row r="945" customFormat="false" ht="15" hidden="false" customHeight="false" outlineLevel="0" collapsed="false">
      <c r="A945" s="11"/>
      <c r="B945" s="12" t="str">
        <f aca="false">IF(A945="","",IFERROR(INDEX(Productos!$D$2:$D$1001,MATCH(A945,Productos!$A$2:$A$1001,0))&amp;" — "&amp;INDEX(Productos!$E$2:$E$1001,MATCH(A945,Productos!$A$2:$A$1001,0)),"SKU no existe en Productos"))</f>
        <v/>
      </c>
      <c r="C945" s="11"/>
      <c r="D945" s="11"/>
      <c r="E945" s="11"/>
      <c r="F945" s="12" t="str">
        <f aca="false">IF(A945="","",SUM(C945:E945))</f>
        <v/>
      </c>
      <c r="G945" s="16" t="str">
        <f aca="false">IF(A945="","",IFERROR(INDEX(Productos!$K$2:$K$1001,MATCH(A945,Productos!$A$2:$A$1001,0)),""))</f>
        <v/>
      </c>
      <c r="H945" s="16" t="str">
        <f aca="false">IF(OR(A945="",G945=""),"",F945*G945)</f>
        <v/>
      </c>
    </row>
    <row r="946" customFormat="false" ht="15" hidden="false" customHeight="false" outlineLevel="0" collapsed="false">
      <c r="A946" s="11"/>
      <c r="B946" s="12" t="str">
        <f aca="false">IF(A946="","",IFERROR(INDEX(Productos!$D$2:$D$1001,MATCH(A946,Productos!$A$2:$A$1001,0))&amp;" — "&amp;INDEX(Productos!$E$2:$E$1001,MATCH(A946,Productos!$A$2:$A$1001,0)),"SKU no existe en Productos"))</f>
        <v/>
      </c>
      <c r="C946" s="11"/>
      <c r="D946" s="11"/>
      <c r="E946" s="11"/>
      <c r="F946" s="12" t="str">
        <f aca="false">IF(A946="","",SUM(C946:E946))</f>
        <v/>
      </c>
      <c r="G946" s="16" t="str">
        <f aca="false">IF(A946="","",IFERROR(INDEX(Productos!$K$2:$K$1001,MATCH(A946,Productos!$A$2:$A$1001,0)),""))</f>
        <v/>
      </c>
      <c r="H946" s="16" t="str">
        <f aca="false">IF(OR(A946="",G946=""),"",F946*G946)</f>
        <v/>
      </c>
    </row>
    <row r="947" customFormat="false" ht="15" hidden="false" customHeight="false" outlineLevel="0" collapsed="false">
      <c r="A947" s="11"/>
      <c r="B947" s="12" t="str">
        <f aca="false">IF(A947="","",IFERROR(INDEX(Productos!$D$2:$D$1001,MATCH(A947,Productos!$A$2:$A$1001,0))&amp;" — "&amp;INDEX(Productos!$E$2:$E$1001,MATCH(A947,Productos!$A$2:$A$1001,0)),"SKU no existe en Productos"))</f>
        <v/>
      </c>
      <c r="C947" s="11"/>
      <c r="D947" s="11"/>
      <c r="E947" s="11"/>
      <c r="F947" s="12" t="str">
        <f aca="false">IF(A947="","",SUM(C947:E947))</f>
        <v/>
      </c>
      <c r="G947" s="16" t="str">
        <f aca="false">IF(A947="","",IFERROR(INDEX(Productos!$K$2:$K$1001,MATCH(A947,Productos!$A$2:$A$1001,0)),""))</f>
        <v/>
      </c>
      <c r="H947" s="16" t="str">
        <f aca="false">IF(OR(A947="",G947=""),"",F947*G947)</f>
        <v/>
      </c>
    </row>
    <row r="948" customFormat="false" ht="15" hidden="false" customHeight="false" outlineLevel="0" collapsed="false">
      <c r="A948" s="11"/>
      <c r="B948" s="12" t="str">
        <f aca="false">IF(A948="","",IFERROR(INDEX(Productos!$D$2:$D$1001,MATCH(A948,Productos!$A$2:$A$1001,0))&amp;" — "&amp;INDEX(Productos!$E$2:$E$1001,MATCH(A948,Productos!$A$2:$A$1001,0)),"SKU no existe en Productos"))</f>
        <v/>
      </c>
      <c r="C948" s="11"/>
      <c r="D948" s="11"/>
      <c r="E948" s="11"/>
      <c r="F948" s="12" t="str">
        <f aca="false">IF(A948="","",SUM(C948:E948))</f>
        <v/>
      </c>
      <c r="G948" s="16" t="str">
        <f aca="false">IF(A948="","",IFERROR(INDEX(Productos!$K$2:$K$1001,MATCH(A948,Productos!$A$2:$A$1001,0)),""))</f>
        <v/>
      </c>
      <c r="H948" s="16" t="str">
        <f aca="false">IF(OR(A948="",G948=""),"",F948*G948)</f>
        <v/>
      </c>
    </row>
    <row r="949" customFormat="false" ht="15" hidden="false" customHeight="false" outlineLevel="0" collapsed="false">
      <c r="A949" s="11"/>
      <c r="B949" s="12" t="str">
        <f aca="false">IF(A949="","",IFERROR(INDEX(Productos!$D$2:$D$1001,MATCH(A949,Productos!$A$2:$A$1001,0))&amp;" — "&amp;INDEX(Productos!$E$2:$E$1001,MATCH(A949,Productos!$A$2:$A$1001,0)),"SKU no existe en Productos"))</f>
        <v/>
      </c>
      <c r="C949" s="11"/>
      <c r="D949" s="11"/>
      <c r="E949" s="11"/>
      <c r="F949" s="12" t="str">
        <f aca="false">IF(A949="","",SUM(C949:E949))</f>
        <v/>
      </c>
      <c r="G949" s="16" t="str">
        <f aca="false">IF(A949="","",IFERROR(INDEX(Productos!$K$2:$K$1001,MATCH(A949,Productos!$A$2:$A$1001,0)),""))</f>
        <v/>
      </c>
      <c r="H949" s="16" t="str">
        <f aca="false">IF(OR(A949="",G949=""),"",F949*G949)</f>
        <v/>
      </c>
    </row>
    <row r="950" customFormat="false" ht="15" hidden="false" customHeight="false" outlineLevel="0" collapsed="false">
      <c r="A950" s="11"/>
      <c r="B950" s="12" t="str">
        <f aca="false">IF(A950="","",IFERROR(INDEX(Productos!$D$2:$D$1001,MATCH(A950,Productos!$A$2:$A$1001,0))&amp;" — "&amp;INDEX(Productos!$E$2:$E$1001,MATCH(A950,Productos!$A$2:$A$1001,0)),"SKU no existe en Productos"))</f>
        <v/>
      </c>
      <c r="C950" s="11"/>
      <c r="D950" s="11"/>
      <c r="E950" s="11"/>
      <c r="F950" s="12" t="str">
        <f aca="false">IF(A950="","",SUM(C950:E950))</f>
        <v/>
      </c>
      <c r="G950" s="16" t="str">
        <f aca="false">IF(A950="","",IFERROR(INDEX(Productos!$K$2:$K$1001,MATCH(A950,Productos!$A$2:$A$1001,0)),""))</f>
        <v/>
      </c>
      <c r="H950" s="16" t="str">
        <f aca="false">IF(OR(A950="",G950=""),"",F950*G950)</f>
        <v/>
      </c>
    </row>
    <row r="951" customFormat="false" ht="15" hidden="false" customHeight="false" outlineLevel="0" collapsed="false">
      <c r="A951" s="11"/>
      <c r="B951" s="12" t="str">
        <f aca="false">IF(A951="","",IFERROR(INDEX(Productos!$D$2:$D$1001,MATCH(A951,Productos!$A$2:$A$1001,0))&amp;" — "&amp;INDEX(Productos!$E$2:$E$1001,MATCH(A951,Productos!$A$2:$A$1001,0)),"SKU no existe en Productos"))</f>
        <v/>
      </c>
      <c r="C951" s="11"/>
      <c r="D951" s="11"/>
      <c r="E951" s="11"/>
      <c r="F951" s="12" t="str">
        <f aca="false">IF(A951="","",SUM(C951:E951))</f>
        <v/>
      </c>
      <c r="G951" s="16" t="str">
        <f aca="false">IF(A951="","",IFERROR(INDEX(Productos!$K$2:$K$1001,MATCH(A951,Productos!$A$2:$A$1001,0)),""))</f>
        <v/>
      </c>
      <c r="H951" s="16" t="str">
        <f aca="false">IF(OR(A951="",G951=""),"",F951*G951)</f>
        <v/>
      </c>
    </row>
    <row r="952" customFormat="false" ht="15" hidden="false" customHeight="false" outlineLevel="0" collapsed="false">
      <c r="A952" s="11"/>
      <c r="B952" s="12" t="str">
        <f aca="false">IF(A952="","",IFERROR(INDEX(Productos!$D$2:$D$1001,MATCH(A952,Productos!$A$2:$A$1001,0))&amp;" — "&amp;INDEX(Productos!$E$2:$E$1001,MATCH(A952,Productos!$A$2:$A$1001,0)),"SKU no existe en Productos"))</f>
        <v/>
      </c>
      <c r="C952" s="11"/>
      <c r="D952" s="11"/>
      <c r="E952" s="11"/>
      <c r="F952" s="12" t="str">
        <f aca="false">IF(A952="","",SUM(C952:E952))</f>
        <v/>
      </c>
      <c r="G952" s="16" t="str">
        <f aca="false">IF(A952="","",IFERROR(INDEX(Productos!$K$2:$K$1001,MATCH(A952,Productos!$A$2:$A$1001,0)),""))</f>
        <v/>
      </c>
      <c r="H952" s="16" t="str">
        <f aca="false">IF(OR(A952="",G952=""),"",F952*G952)</f>
        <v/>
      </c>
    </row>
    <row r="953" customFormat="false" ht="15" hidden="false" customHeight="false" outlineLevel="0" collapsed="false">
      <c r="A953" s="11"/>
      <c r="B953" s="12" t="str">
        <f aca="false">IF(A953="","",IFERROR(INDEX(Productos!$D$2:$D$1001,MATCH(A953,Productos!$A$2:$A$1001,0))&amp;" — "&amp;INDEX(Productos!$E$2:$E$1001,MATCH(A953,Productos!$A$2:$A$1001,0)),"SKU no existe en Productos"))</f>
        <v/>
      </c>
      <c r="C953" s="11"/>
      <c r="D953" s="11"/>
      <c r="E953" s="11"/>
      <c r="F953" s="12" t="str">
        <f aca="false">IF(A953="","",SUM(C953:E953))</f>
        <v/>
      </c>
      <c r="G953" s="16" t="str">
        <f aca="false">IF(A953="","",IFERROR(INDEX(Productos!$K$2:$K$1001,MATCH(A953,Productos!$A$2:$A$1001,0)),""))</f>
        <v/>
      </c>
      <c r="H953" s="16" t="str">
        <f aca="false">IF(OR(A953="",G953=""),"",F953*G953)</f>
        <v/>
      </c>
    </row>
    <row r="954" customFormat="false" ht="15" hidden="false" customHeight="false" outlineLevel="0" collapsed="false">
      <c r="A954" s="11"/>
      <c r="B954" s="12" t="str">
        <f aca="false">IF(A954="","",IFERROR(INDEX(Productos!$D$2:$D$1001,MATCH(A954,Productos!$A$2:$A$1001,0))&amp;" — "&amp;INDEX(Productos!$E$2:$E$1001,MATCH(A954,Productos!$A$2:$A$1001,0)),"SKU no existe en Productos"))</f>
        <v/>
      </c>
      <c r="C954" s="11"/>
      <c r="D954" s="11"/>
      <c r="E954" s="11"/>
      <c r="F954" s="12" t="str">
        <f aca="false">IF(A954="","",SUM(C954:E954))</f>
        <v/>
      </c>
      <c r="G954" s="16" t="str">
        <f aca="false">IF(A954="","",IFERROR(INDEX(Productos!$K$2:$K$1001,MATCH(A954,Productos!$A$2:$A$1001,0)),""))</f>
        <v/>
      </c>
      <c r="H954" s="16" t="str">
        <f aca="false">IF(OR(A954="",G954=""),"",F954*G954)</f>
        <v/>
      </c>
    </row>
    <row r="955" customFormat="false" ht="15" hidden="false" customHeight="false" outlineLevel="0" collapsed="false">
      <c r="A955" s="11"/>
      <c r="B955" s="12" t="str">
        <f aca="false">IF(A955="","",IFERROR(INDEX(Productos!$D$2:$D$1001,MATCH(A955,Productos!$A$2:$A$1001,0))&amp;" — "&amp;INDEX(Productos!$E$2:$E$1001,MATCH(A955,Productos!$A$2:$A$1001,0)),"SKU no existe en Productos"))</f>
        <v/>
      </c>
      <c r="C955" s="11"/>
      <c r="D955" s="11"/>
      <c r="E955" s="11"/>
      <c r="F955" s="12" t="str">
        <f aca="false">IF(A955="","",SUM(C955:E955))</f>
        <v/>
      </c>
      <c r="G955" s="16" t="str">
        <f aca="false">IF(A955="","",IFERROR(INDEX(Productos!$K$2:$K$1001,MATCH(A955,Productos!$A$2:$A$1001,0)),""))</f>
        <v/>
      </c>
      <c r="H955" s="16" t="str">
        <f aca="false">IF(OR(A955="",G955=""),"",F955*G955)</f>
        <v/>
      </c>
    </row>
    <row r="956" customFormat="false" ht="15" hidden="false" customHeight="false" outlineLevel="0" collapsed="false">
      <c r="A956" s="11"/>
      <c r="B956" s="12" t="str">
        <f aca="false">IF(A956="","",IFERROR(INDEX(Productos!$D$2:$D$1001,MATCH(A956,Productos!$A$2:$A$1001,0))&amp;" — "&amp;INDEX(Productos!$E$2:$E$1001,MATCH(A956,Productos!$A$2:$A$1001,0)),"SKU no existe en Productos"))</f>
        <v/>
      </c>
      <c r="C956" s="11"/>
      <c r="D956" s="11"/>
      <c r="E956" s="11"/>
      <c r="F956" s="12" t="str">
        <f aca="false">IF(A956="","",SUM(C956:E956))</f>
        <v/>
      </c>
      <c r="G956" s="16" t="str">
        <f aca="false">IF(A956="","",IFERROR(INDEX(Productos!$K$2:$K$1001,MATCH(A956,Productos!$A$2:$A$1001,0)),""))</f>
        <v/>
      </c>
      <c r="H956" s="16" t="str">
        <f aca="false">IF(OR(A956="",G956=""),"",F956*G956)</f>
        <v/>
      </c>
    </row>
    <row r="957" customFormat="false" ht="15" hidden="false" customHeight="false" outlineLevel="0" collapsed="false">
      <c r="A957" s="11"/>
      <c r="B957" s="12" t="str">
        <f aca="false">IF(A957="","",IFERROR(INDEX(Productos!$D$2:$D$1001,MATCH(A957,Productos!$A$2:$A$1001,0))&amp;" — "&amp;INDEX(Productos!$E$2:$E$1001,MATCH(A957,Productos!$A$2:$A$1001,0)),"SKU no existe en Productos"))</f>
        <v/>
      </c>
      <c r="C957" s="11"/>
      <c r="D957" s="11"/>
      <c r="E957" s="11"/>
      <c r="F957" s="12" t="str">
        <f aca="false">IF(A957="","",SUM(C957:E957))</f>
        <v/>
      </c>
      <c r="G957" s="16" t="str">
        <f aca="false">IF(A957="","",IFERROR(INDEX(Productos!$K$2:$K$1001,MATCH(A957,Productos!$A$2:$A$1001,0)),""))</f>
        <v/>
      </c>
      <c r="H957" s="16" t="str">
        <f aca="false">IF(OR(A957="",G957=""),"",F957*G957)</f>
        <v/>
      </c>
    </row>
    <row r="958" customFormat="false" ht="15" hidden="false" customHeight="false" outlineLevel="0" collapsed="false">
      <c r="A958" s="11"/>
      <c r="B958" s="12" t="str">
        <f aca="false">IF(A958="","",IFERROR(INDEX(Productos!$D$2:$D$1001,MATCH(A958,Productos!$A$2:$A$1001,0))&amp;" — "&amp;INDEX(Productos!$E$2:$E$1001,MATCH(A958,Productos!$A$2:$A$1001,0)),"SKU no existe en Productos"))</f>
        <v/>
      </c>
      <c r="C958" s="11"/>
      <c r="D958" s="11"/>
      <c r="E958" s="11"/>
      <c r="F958" s="12" t="str">
        <f aca="false">IF(A958="","",SUM(C958:E958))</f>
        <v/>
      </c>
      <c r="G958" s="16" t="str">
        <f aca="false">IF(A958="","",IFERROR(INDEX(Productos!$K$2:$K$1001,MATCH(A958,Productos!$A$2:$A$1001,0)),""))</f>
        <v/>
      </c>
      <c r="H958" s="16" t="str">
        <f aca="false">IF(OR(A958="",G958=""),"",F958*G958)</f>
        <v/>
      </c>
    </row>
    <row r="959" customFormat="false" ht="15" hidden="false" customHeight="false" outlineLevel="0" collapsed="false">
      <c r="A959" s="11"/>
      <c r="B959" s="12" t="str">
        <f aca="false">IF(A959="","",IFERROR(INDEX(Productos!$D$2:$D$1001,MATCH(A959,Productos!$A$2:$A$1001,0))&amp;" — "&amp;INDEX(Productos!$E$2:$E$1001,MATCH(A959,Productos!$A$2:$A$1001,0)),"SKU no existe en Productos"))</f>
        <v/>
      </c>
      <c r="C959" s="11"/>
      <c r="D959" s="11"/>
      <c r="E959" s="11"/>
      <c r="F959" s="12" t="str">
        <f aca="false">IF(A959="","",SUM(C959:E959))</f>
        <v/>
      </c>
      <c r="G959" s="16" t="str">
        <f aca="false">IF(A959="","",IFERROR(INDEX(Productos!$K$2:$K$1001,MATCH(A959,Productos!$A$2:$A$1001,0)),""))</f>
        <v/>
      </c>
      <c r="H959" s="16" t="str">
        <f aca="false">IF(OR(A959="",G959=""),"",F959*G959)</f>
        <v/>
      </c>
    </row>
    <row r="960" customFormat="false" ht="15" hidden="false" customHeight="false" outlineLevel="0" collapsed="false">
      <c r="A960" s="11"/>
      <c r="B960" s="12" t="str">
        <f aca="false">IF(A960="","",IFERROR(INDEX(Productos!$D$2:$D$1001,MATCH(A960,Productos!$A$2:$A$1001,0))&amp;" — "&amp;INDEX(Productos!$E$2:$E$1001,MATCH(A960,Productos!$A$2:$A$1001,0)),"SKU no existe en Productos"))</f>
        <v/>
      </c>
      <c r="C960" s="11"/>
      <c r="D960" s="11"/>
      <c r="E960" s="11"/>
      <c r="F960" s="12" t="str">
        <f aca="false">IF(A960="","",SUM(C960:E960))</f>
        <v/>
      </c>
      <c r="G960" s="16" t="str">
        <f aca="false">IF(A960="","",IFERROR(INDEX(Productos!$K$2:$K$1001,MATCH(A960,Productos!$A$2:$A$1001,0)),""))</f>
        <v/>
      </c>
      <c r="H960" s="16" t="str">
        <f aca="false">IF(OR(A960="",G960=""),"",F960*G960)</f>
        <v/>
      </c>
    </row>
    <row r="961" customFormat="false" ht="15" hidden="false" customHeight="false" outlineLevel="0" collapsed="false">
      <c r="A961" s="11"/>
      <c r="B961" s="12" t="str">
        <f aca="false">IF(A961="","",IFERROR(INDEX(Productos!$D$2:$D$1001,MATCH(A961,Productos!$A$2:$A$1001,0))&amp;" — "&amp;INDEX(Productos!$E$2:$E$1001,MATCH(A961,Productos!$A$2:$A$1001,0)),"SKU no existe en Productos"))</f>
        <v/>
      </c>
      <c r="C961" s="11"/>
      <c r="D961" s="11"/>
      <c r="E961" s="11"/>
      <c r="F961" s="12" t="str">
        <f aca="false">IF(A961="","",SUM(C961:E961))</f>
        <v/>
      </c>
      <c r="G961" s="16" t="str">
        <f aca="false">IF(A961="","",IFERROR(INDEX(Productos!$K$2:$K$1001,MATCH(A961,Productos!$A$2:$A$1001,0)),""))</f>
        <v/>
      </c>
      <c r="H961" s="16" t="str">
        <f aca="false">IF(OR(A961="",G961=""),"",F961*G961)</f>
        <v/>
      </c>
    </row>
    <row r="962" customFormat="false" ht="15" hidden="false" customHeight="false" outlineLevel="0" collapsed="false">
      <c r="A962" s="11"/>
      <c r="B962" s="12" t="str">
        <f aca="false">IF(A962="","",IFERROR(INDEX(Productos!$D$2:$D$1001,MATCH(A962,Productos!$A$2:$A$1001,0))&amp;" — "&amp;INDEX(Productos!$E$2:$E$1001,MATCH(A962,Productos!$A$2:$A$1001,0)),"SKU no existe en Productos"))</f>
        <v/>
      </c>
      <c r="C962" s="11"/>
      <c r="D962" s="11"/>
      <c r="E962" s="11"/>
      <c r="F962" s="12" t="str">
        <f aca="false">IF(A962="","",SUM(C962:E962))</f>
        <v/>
      </c>
      <c r="G962" s="16" t="str">
        <f aca="false">IF(A962="","",IFERROR(INDEX(Productos!$K$2:$K$1001,MATCH(A962,Productos!$A$2:$A$1001,0)),""))</f>
        <v/>
      </c>
      <c r="H962" s="16" t="str">
        <f aca="false">IF(OR(A962="",G962=""),"",F962*G962)</f>
        <v/>
      </c>
    </row>
    <row r="963" customFormat="false" ht="15" hidden="false" customHeight="false" outlineLevel="0" collapsed="false">
      <c r="A963" s="11"/>
      <c r="B963" s="12" t="str">
        <f aca="false">IF(A963="","",IFERROR(INDEX(Productos!$D$2:$D$1001,MATCH(A963,Productos!$A$2:$A$1001,0))&amp;" — "&amp;INDEX(Productos!$E$2:$E$1001,MATCH(A963,Productos!$A$2:$A$1001,0)),"SKU no existe en Productos"))</f>
        <v/>
      </c>
      <c r="C963" s="11"/>
      <c r="D963" s="11"/>
      <c r="E963" s="11"/>
      <c r="F963" s="12" t="str">
        <f aca="false">IF(A963="","",SUM(C963:E963))</f>
        <v/>
      </c>
      <c r="G963" s="16" t="str">
        <f aca="false">IF(A963="","",IFERROR(INDEX(Productos!$K$2:$K$1001,MATCH(A963,Productos!$A$2:$A$1001,0)),""))</f>
        <v/>
      </c>
      <c r="H963" s="16" t="str">
        <f aca="false">IF(OR(A963="",G963=""),"",F963*G963)</f>
        <v/>
      </c>
    </row>
    <row r="964" customFormat="false" ht="15" hidden="false" customHeight="false" outlineLevel="0" collapsed="false">
      <c r="A964" s="11"/>
      <c r="B964" s="12" t="str">
        <f aca="false">IF(A964="","",IFERROR(INDEX(Productos!$D$2:$D$1001,MATCH(A964,Productos!$A$2:$A$1001,0))&amp;" — "&amp;INDEX(Productos!$E$2:$E$1001,MATCH(A964,Productos!$A$2:$A$1001,0)),"SKU no existe en Productos"))</f>
        <v/>
      </c>
      <c r="C964" s="11"/>
      <c r="D964" s="11"/>
      <c r="E964" s="11"/>
      <c r="F964" s="12" t="str">
        <f aca="false">IF(A964="","",SUM(C964:E964))</f>
        <v/>
      </c>
      <c r="G964" s="16" t="str">
        <f aca="false">IF(A964="","",IFERROR(INDEX(Productos!$K$2:$K$1001,MATCH(A964,Productos!$A$2:$A$1001,0)),""))</f>
        <v/>
      </c>
      <c r="H964" s="16" t="str">
        <f aca="false">IF(OR(A964="",G964=""),"",F964*G964)</f>
        <v/>
      </c>
    </row>
    <row r="965" customFormat="false" ht="15" hidden="false" customHeight="false" outlineLevel="0" collapsed="false">
      <c r="A965" s="11"/>
      <c r="B965" s="12" t="str">
        <f aca="false">IF(A965="","",IFERROR(INDEX(Productos!$D$2:$D$1001,MATCH(A965,Productos!$A$2:$A$1001,0))&amp;" — "&amp;INDEX(Productos!$E$2:$E$1001,MATCH(A965,Productos!$A$2:$A$1001,0)),"SKU no existe en Productos"))</f>
        <v/>
      </c>
      <c r="C965" s="11"/>
      <c r="D965" s="11"/>
      <c r="E965" s="11"/>
      <c r="F965" s="12" t="str">
        <f aca="false">IF(A965="","",SUM(C965:E965))</f>
        <v/>
      </c>
      <c r="G965" s="16" t="str">
        <f aca="false">IF(A965="","",IFERROR(INDEX(Productos!$K$2:$K$1001,MATCH(A965,Productos!$A$2:$A$1001,0)),""))</f>
        <v/>
      </c>
      <c r="H965" s="16" t="str">
        <f aca="false">IF(OR(A965="",G965=""),"",F965*G965)</f>
        <v/>
      </c>
    </row>
    <row r="966" customFormat="false" ht="15" hidden="false" customHeight="false" outlineLevel="0" collapsed="false">
      <c r="A966" s="11"/>
      <c r="B966" s="12" t="str">
        <f aca="false">IF(A966="","",IFERROR(INDEX(Productos!$D$2:$D$1001,MATCH(A966,Productos!$A$2:$A$1001,0))&amp;" — "&amp;INDEX(Productos!$E$2:$E$1001,MATCH(A966,Productos!$A$2:$A$1001,0)),"SKU no existe en Productos"))</f>
        <v/>
      </c>
      <c r="C966" s="11"/>
      <c r="D966" s="11"/>
      <c r="E966" s="11"/>
      <c r="F966" s="12" t="str">
        <f aca="false">IF(A966="","",SUM(C966:E966))</f>
        <v/>
      </c>
      <c r="G966" s="16" t="str">
        <f aca="false">IF(A966="","",IFERROR(INDEX(Productos!$K$2:$K$1001,MATCH(A966,Productos!$A$2:$A$1001,0)),""))</f>
        <v/>
      </c>
      <c r="H966" s="16" t="str">
        <f aca="false">IF(OR(A966="",G966=""),"",F966*G966)</f>
        <v/>
      </c>
    </row>
    <row r="967" customFormat="false" ht="15" hidden="false" customHeight="false" outlineLevel="0" collapsed="false">
      <c r="A967" s="11"/>
      <c r="B967" s="12" t="str">
        <f aca="false">IF(A967="","",IFERROR(INDEX(Productos!$D$2:$D$1001,MATCH(A967,Productos!$A$2:$A$1001,0))&amp;" — "&amp;INDEX(Productos!$E$2:$E$1001,MATCH(A967,Productos!$A$2:$A$1001,0)),"SKU no existe en Productos"))</f>
        <v/>
      </c>
      <c r="C967" s="11"/>
      <c r="D967" s="11"/>
      <c r="E967" s="11"/>
      <c r="F967" s="12" t="str">
        <f aca="false">IF(A967="","",SUM(C967:E967))</f>
        <v/>
      </c>
      <c r="G967" s="16" t="str">
        <f aca="false">IF(A967="","",IFERROR(INDEX(Productos!$K$2:$K$1001,MATCH(A967,Productos!$A$2:$A$1001,0)),""))</f>
        <v/>
      </c>
      <c r="H967" s="16" t="str">
        <f aca="false">IF(OR(A967="",G967=""),"",F967*G967)</f>
        <v/>
      </c>
    </row>
    <row r="968" customFormat="false" ht="15" hidden="false" customHeight="false" outlineLevel="0" collapsed="false">
      <c r="A968" s="11"/>
      <c r="B968" s="12" t="str">
        <f aca="false">IF(A968="","",IFERROR(INDEX(Productos!$D$2:$D$1001,MATCH(A968,Productos!$A$2:$A$1001,0))&amp;" — "&amp;INDEX(Productos!$E$2:$E$1001,MATCH(A968,Productos!$A$2:$A$1001,0)),"SKU no existe en Productos"))</f>
        <v/>
      </c>
      <c r="C968" s="11"/>
      <c r="D968" s="11"/>
      <c r="E968" s="11"/>
      <c r="F968" s="12" t="str">
        <f aca="false">IF(A968="","",SUM(C968:E968))</f>
        <v/>
      </c>
      <c r="G968" s="16" t="str">
        <f aca="false">IF(A968="","",IFERROR(INDEX(Productos!$K$2:$K$1001,MATCH(A968,Productos!$A$2:$A$1001,0)),""))</f>
        <v/>
      </c>
      <c r="H968" s="16" t="str">
        <f aca="false">IF(OR(A968="",G968=""),"",F968*G968)</f>
        <v/>
      </c>
    </row>
    <row r="969" customFormat="false" ht="15" hidden="false" customHeight="false" outlineLevel="0" collapsed="false">
      <c r="A969" s="11"/>
      <c r="B969" s="12" t="str">
        <f aca="false">IF(A969="","",IFERROR(INDEX(Productos!$D$2:$D$1001,MATCH(A969,Productos!$A$2:$A$1001,0))&amp;" — "&amp;INDEX(Productos!$E$2:$E$1001,MATCH(A969,Productos!$A$2:$A$1001,0)),"SKU no existe en Productos"))</f>
        <v/>
      </c>
      <c r="C969" s="11"/>
      <c r="D969" s="11"/>
      <c r="E969" s="11"/>
      <c r="F969" s="12" t="str">
        <f aca="false">IF(A969="","",SUM(C969:E969))</f>
        <v/>
      </c>
      <c r="G969" s="16" t="str">
        <f aca="false">IF(A969="","",IFERROR(INDEX(Productos!$K$2:$K$1001,MATCH(A969,Productos!$A$2:$A$1001,0)),""))</f>
        <v/>
      </c>
      <c r="H969" s="16" t="str">
        <f aca="false">IF(OR(A969="",G969=""),"",F969*G969)</f>
        <v/>
      </c>
    </row>
    <row r="970" customFormat="false" ht="15" hidden="false" customHeight="false" outlineLevel="0" collapsed="false">
      <c r="A970" s="11"/>
      <c r="B970" s="12" t="str">
        <f aca="false">IF(A970="","",IFERROR(INDEX(Productos!$D$2:$D$1001,MATCH(A970,Productos!$A$2:$A$1001,0))&amp;" — "&amp;INDEX(Productos!$E$2:$E$1001,MATCH(A970,Productos!$A$2:$A$1001,0)),"SKU no existe en Productos"))</f>
        <v/>
      </c>
      <c r="C970" s="11"/>
      <c r="D970" s="11"/>
      <c r="E970" s="11"/>
      <c r="F970" s="12" t="str">
        <f aca="false">IF(A970="","",SUM(C970:E970))</f>
        <v/>
      </c>
      <c r="G970" s="16" t="str">
        <f aca="false">IF(A970="","",IFERROR(INDEX(Productos!$K$2:$K$1001,MATCH(A970,Productos!$A$2:$A$1001,0)),""))</f>
        <v/>
      </c>
      <c r="H970" s="16" t="str">
        <f aca="false">IF(OR(A970="",G970=""),"",F970*G970)</f>
        <v/>
      </c>
    </row>
    <row r="971" customFormat="false" ht="15" hidden="false" customHeight="false" outlineLevel="0" collapsed="false">
      <c r="A971" s="11"/>
      <c r="B971" s="12" t="str">
        <f aca="false">IF(A971="","",IFERROR(INDEX(Productos!$D$2:$D$1001,MATCH(A971,Productos!$A$2:$A$1001,0))&amp;" — "&amp;INDEX(Productos!$E$2:$E$1001,MATCH(A971,Productos!$A$2:$A$1001,0)),"SKU no existe en Productos"))</f>
        <v/>
      </c>
      <c r="C971" s="11"/>
      <c r="D971" s="11"/>
      <c r="E971" s="11"/>
      <c r="F971" s="12" t="str">
        <f aca="false">IF(A971="","",SUM(C971:E971))</f>
        <v/>
      </c>
      <c r="G971" s="16" t="str">
        <f aca="false">IF(A971="","",IFERROR(INDEX(Productos!$K$2:$K$1001,MATCH(A971,Productos!$A$2:$A$1001,0)),""))</f>
        <v/>
      </c>
      <c r="H971" s="16" t="str">
        <f aca="false">IF(OR(A971="",G971=""),"",F971*G971)</f>
        <v/>
      </c>
    </row>
    <row r="972" customFormat="false" ht="15" hidden="false" customHeight="false" outlineLevel="0" collapsed="false">
      <c r="A972" s="11"/>
      <c r="B972" s="12" t="str">
        <f aca="false">IF(A972="","",IFERROR(INDEX(Productos!$D$2:$D$1001,MATCH(A972,Productos!$A$2:$A$1001,0))&amp;" — "&amp;INDEX(Productos!$E$2:$E$1001,MATCH(A972,Productos!$A$2:$A$1001,0)),"SKU no existe en Productos"))</f>
        <v/>
      </c>
      <c r="C972" s="11"/>
      <c r="D972" s="11"/>
      <c r="E972" s="11"/>
      <c r="F972" s="12" t="str">
        <f aca="false">IF(A972="","",SUM(C972:E972))</f>
        <v/>
      </c>
      <c r="G972" s="16" t="str">
        <f aca="false">IF(A972="","",IFERROR(INDEX(Productos!$K$2:$K$1001,MATCH(A972,Productos!$A$2:$A$1001,0)),""))</f>
        <v/>
      </c>
      <c r="H972" s="16" t="str">
        <f aca="false">IF(OR(A972="",G972=""),"",F972*G972)</f>
        <v/>
      </c>
    </row>
    <row r="973" customFormat="false" ht="15" hidden="false" customHeight="false" outlineLevel="0" collapsed="false">
      <c r="A973" s="11"/>
      <c r="B973" s="12" t="str">
        <f aca="false">IF(A973="","",IFERROR(INDEX(Productos!$D$2:$D$1001,MATCH(A973,Productos!$A$2:$A$1001,0))&amp;" — "&amp;INDEX(Productos!$E$2:$E$1001,MATCH(A973,Productos!$A$2:$A$1001,0)),"SKU no existe en Productos"))</f>
        <v/>
      </c>
      <c r="C973" s="11"/>
      <c r="D973" s="11"/>
      <c r="E973" s="11"/>
      <c r="F973" s="12" t="str">
        <f aca="false">IF(A973="","",SUM(C973:E973))</f>
        <v/>
      </c>
      <c r="G973" s="16" t="str">
        <f aca="false">IF(A973="","",IFERROR(INDEX(Productos!$K$2:$K$1001,MATCH(A973,Productos!$A$2:$A$1001,0)),""))</f>
        <v/>
      </c>
      <c r="H973" s="16" t="str">
        <f aca="false">IF(OR(A973="",G973=""),"",F973*G973)</f>
        <v/>
      </c>
    </row>
    <row r="974" customFormat="false" ht="15" hidden="false" customHeight="false" outlineLevel="0" collapsed="false">
      <c r="A974" s="11"/>
      <c r="B974" s="12" t="str">
        <f aca="false">IF(A974="","",IFERROR(INDEX(Productos!$D$2:$D$1001,MATCH(A974,Productos!$A$2:$A$1001,0))&amp;" — "&amp;INDEX(Productos!$E$2:$E$1001,MATCH(A974,Productos!$A$2:$A$1001,0)),"SKU no existe en Productos"))</f>
        <v/>
      </c>
      <c r="C974" s="11"/>
      <c r="D974" s="11"/>
      <c r="E974" s="11"/>
      <c r="F974" s="12" t="str">
        <f aca="false">IF(A974="","",SUM(C974:E974))</f>
        <v/>
      </c>
      <c r="G974" s="16" t="str">
        <f aca="false">IF(A974="","",IFERROR(INDEX(Productos!$K$2:$K$1001,MATCH(A974,Productos!$A$2:$A$1001,0)),""))</f>
        <v/>
      </c>
      <c r="H974" s="16" t="str">
        <f aca="false">IF(OR(A974="",G974=""),"",F974*G974)</f>
        <v/>
      </c>
    </row>
    <row r="975" customFormat="false" ht="15" hidden="false" customHeight="false" outlineLevel="0" collapsed="false">
      <c r="A975" s="11"/>
      <c r="B975" s="12" t="str">
        <f aca="false">IF(A975="","",IFERROR(INDEX(Productos!$D$2:$D$1001,MATCH(A975,Productos!$A$2:$A$1001,0))&amp;" — "&amp;INDEX(Productos!$E$2:$E$1001,MATCH(A975,Productos!$A$2:$A$1001,0)),"SKU no existe en Productos"))</f>
        <v/>
      </c>
      <c r="C975" s="11"/>
      <c r="D975" s="11"/>
      <c r="E975" s="11"/>
      <c r="F975" s="12" t="str">
        <f aca="false">IF(A975="","",SUM(C975:E975))</f>
        <v/>
      </c>
      <c r="G975" s="16" t="str">
        <f aca="false">IF(A975="","",IFERROR(INDEX(Productos!$K$2:$K$1001,MATCH(A975,Productos!$A$2:$A$1001,0)),""))</f>
        <v/>
      </c>
      <c r="H975" s="16" t="str">
        <f aca="false">IF(OR(A975="",G975=""),"",F975*G975)</f>
        <v/>
      </c>
    </row>
    <row r="976" customFormat="false" ht="15" hidden="false" customHeight="false" outlineLevel="0" collapsed="false">
      <c r="A976" s="11"/>
      <c r="B976" s="12" t="str">
        <f aca="false">IF(A976="","",IFERROR(INDEX(Productos!$D$2:$D$1001,MATCH(A976,Productos!$A$2:$A$1001,0))&amp;" — "&amp;INDEX(Productos!$E$2:$E$1001,MATCH(A976,Productos!$A$2:$A$1001,0)),"SKU no existe en Productos"))</f>
        <v/>
      </c>
      <c r="C976" s="11"/>
      <c r="D976" s="11"/>
      <c r="E976" s="11"/>
      <c r="F976" s="12" t="str">
        <f aca="false">IF(A976="","",SUM(C976:E976))</f>
        <v/>
      </c>
      <c r="G976" s="16" t="str">
        <f aca="false">IF(A976="","",IFERROR(INDEX(Productos!$K$2:$K$1001,MATCH(A976,Productos!$A$2:$A$1001,0)),""))</f>
        <v/>
      </c>
      <c r="H976" s="16" t="str">
        <f aca="false">IF(OR(A976="",G976=""),"",F976*G976)</f>
        <v/>
      </c>
    </row>
    <row r="977" customFormat="false" ht="15" hidden="false" customHeight="false" outlineLevel="0" collapsed="false">
      <c r="A977" s="11"/>
      <c r="B977" s="12" t="str">
        <f aca="false">IF(A977="","",IFERROR(INDEX(Productos!$D$2:$D$1001,MATCH(A977,Productos!$A$2:$A$1001,0))&amp;" — "&amp;INDEX(Productos!$E$2:$E$1001,MATCH(A977,Productos!$A$2:$A$1001,0)),"SKU no existe en Productos"))</f>
        <v/>
      </c>
      <c r="C977" s="11"/>
      <c r="D977" s="11"/>
      <c r="E977" s="11"/>
      <c r="F977" s="12" t="str">
        <f aca="false">IF(A977="","",SUM(C977:E977))</f>
        <v/>
      </c>
      <c r="G977" s="16" t="str">
        <f aca="false">IF(A977="","",IFERROR(INDEX(Productos!$K$2:$K$1001,MATCH(A977,Productos!$A$2:$A$1001,0)),""))</f>
        <v/>
      </c>
      <c r="H977" s="16" t="str">
        <f aca="false">IF(OR(A977="",G977=""),"",F977*G977)</f>
        <v/>
      </c>
    </row>
    <row r="978" customFormat="false" ht="15" hidden="false" customHeight="false" outlineLevel="0" collapsed="false">
      <c r="A978" s="11"/>
      <c r="B978" s="12" t="str">
        <f aca="false">IF(A978="","",IFERROR(INDEX(Productos!$D$2:$D$1001,MATCH(A978,Productos!$A$2:$A$1001,0))&amp;" — "&amp;INDEX(Productos!$E$2:$E$1001,MATCH(A978,Productos!$A$2:$A$1001,0)),"SKU no existe en Productos"))</f>
        <v/>
      </c>
      <c r="C978" s="11"/>
      <c r="D978" s="11"/>
      <c r="E978" s="11"/>
      <c r="F978" s="12" t="str">
        <f aca="false">IF(A978="","",SUM(C978:E978))</f>
        <v/>
      </c>
      <c r="G978" s="16" t="str">
        <f aca="false">IF(A978="","",IFERROR(INDEX(Productos!$K$2:$K$1001,MATCH(A978,Productos!$A$2:$A$1001,0)),""))</f>
        <v/>
      </c>
      <c r="H978" s="16" t="str">
        <f aca="false">IF(OR(A978="",G978=""),"",F978*G978)</f>
        <v/>
      </c>
    </row>
    <row r="979" customFormat="false" ht="15" hidden="false" customHeight="false" outlineLevel="0" collapsed="false">
      <c r="A979" s="11"/>
      <c r="B979" s="12" t="str">
        <f aca="false">IF(A979="","",IFERROR(INDEX(Productos!$D$2:$D$1001,MATCH(A979,Productos!$A$2:$A$1001,0))&amp;" — "&amp;INDEX(Productos!$E$2:$E$1001,MATCH(A979,Productos!$A$2:$A$1001,0)),"SKU no existe en Productos"))</f>
        <v/>
      </c>
      <c r="C979" s="11"/>
      <c r="D979" s="11"/>
      <c r="E979" s="11"/>
      <c r="F979" s="12" t="str">
        <f aca="false">IF(A979="","",SUM(C979:E979))</f>
        <v/>
      </c>
      <c r="G979" s="16" t="str">
        <f aca="false">IF(A979="","",IFERROR(INDEX(Productos!$K$2:$K$1001,MATCH(A979,Productos!$A$2:$A$1001,0)),""))</f>
        <v/>
      </c>
      <c r="H979" s="16" t="str">
        <f aca="false">IF(OR(A979="",G979=""),"",F979*G979)</f>
        <v/>
      </c>
    </row>
    <row r="980" customFormat="false" ht="15" hidden="false" customHeight="false" outlineLevel="0" collapsed="false">
      <c r="A980" s="11"/>
      <c r="B980" s="12" t="str">
        <f aca="false">IF(A980="","",IFERROR(INDEX(Productos!$D$2:$D$1001,MATCH(A980,Productos!$A$2:$A$1001,0))&amp;" — "&amp;INDEX(Productos!$E$2:$E$1001,MATCH(A980,Productos!$A$2:$A$1001,0)),"SKU no existe en Productos"))</f>
        <v/>
      </c>
      <c r="C980" s="11"/>
      <c r="D980" s="11"/>
      <c r="E980" s="11"/>
      <c r="F980" s="12" t="str">
        <f aca="false">IF(A980="","",SUM(C980:E980))</f>
        <v/>
      </c>
      <c r="G980" s="16" t="str">
        <f aca="false">IF(A980="","",IFERROR(INDEX(Productos!$K$2:$K$1001,MATCH(A980,Productos!$A$2:$A$1001,0)),""))</f>
        <v/>
      </c>
      <c r="H980" s="16" t="str">
        <f aca="false">IF(OR(A980="",G980=""),"",F980*G980)</f>
        <v/>
      </c>
    </row>
    <row r="981" customFormat="false" ht="15" hidden="false" customHeight="false" outlineLevel="0" collapsed="false">
      <c r="A981" s="11"/>
      <c r="B981" s="12" t="str">
        <f aca="false">IF(A981="","",IFERROR(INDEX(Productos!$D$2:$D$1001,MATCH(A981,Productos!$A$2:$A$1001,0))&amp;" — "&amp;INDEX(Productos!$E$2:$E$1001,MATCH(A981,Productos!$A$2:$A$1001,0)),"SKU no existe en Productos"))</f>
        <v/>
      </c>
      <c r="C981" s="11"/>
      <c r="D981" s="11"/>
      <c r="E981" s="11"/>
      <c r="F981" s="12" t="str">
        <f aca="false">IF(A981="","",SUM(C981:E981))</f>
        <v/>
      </c>
      <c r="G981" s="16" t="str">
        <f aca="false">IF(A981="","",IFERROR(INDEX(Productos!$K$2:$K$1001,MATCH(A981,Productos!$A$2:$A$1001,0)),""))</f>
        <v/>
      </c>
      <c r="H981" s="16" t="str">
        <f aca="false">IF(OR(A981="",G981=""),"",F981*G981)</f>
        <v/>
      </c>
    </row>
    <row r="982" customFormat="false" ht="15" hidden="false" customHeight="false" outlineLevel="0" collapsed="false">
      <c r="A982" s="11"/>
      <c r="B982" s="12" t="str">
        <f aca="false">IF(A982="","",IFERROR(INDEX(Productos!$D$2:$D$1001,MATCH(A982,Productos!$A$2:$A$1001,0))&amp;" — "&amp;INDEX(Productos!$E$2:$E$1001,MATCH(A982,Productos!$A$2:$A$1001,0)),"SKU no existe en Productos"))</f>
        <v/>
      </c>
      <c r="C982" s="11"/>
      <c r="D982" s="11"/>
      <c r="E982" s="11"/>
      <c r="F982" s="12" t="str">
        <f aca="false">IF(A982="","",SUM(C982:E982))</f>
        <v/>
      </c>
      <c r="G982" s="16" t="str">
        <f aca="false">IF(A982="","",IFERROR(INDEX(Productos!$K$2:$K$1001,MATCH(A982,Productos!$A$2:$A$1001,0)),""))</f>
        <v/>
      </c>
      <c r="H982" s="16" t="str">
        <f aca="false">IF(OR(A982="",G982=""),"",F982*G982)</f>
        <v/>
      </c>
    </row>
    <row r="983" customFormat="false" ht="15" hidden="false" customHeight="false" outlineLevel="0" collapsed="false">
      <c r="A983" s="11"/>
      <c r="B983" s="12" t="str">
        <f aca="false">IF(A983="","",IFERROR(INDEX(Productos!$D$2:$D$1001,MATCH(A983,Productos!$A$2:$A$1001,0))&amp;" — "&amp;INDEX(Productos!$E$2:$E$1001,MATCH(A983,Productos!$A$2:$A$1001,0)),"SKU no existe en Productos"))</f>
        <v/>
      </c>
      <c r="C983" s="11"/>
      <c r="D983" s="11"/>
      <c r="E983" s="11"/>
      <c r="F983" s="12" t="str">
        <f aca="false">IF(A983="","",SUM(C983:E983))</f>
        <v/>
      </c>
      <c r="G983" s="16" t="str">
        <f aca="false">IF(A983="","",IFERROR(INDEX(Productos!$K$2:$K$1001,MATCH(A983,Productos!$A$2:$A$1001,0)),""))</f>
        <v/>
      </c>
      <c r="H983" s="16" t="str">
        <f aca="false">IF(OR(A983="",G983=""),"",F983*G983)</f>
        <v/>
      </c>
    </row>
    <row r="984" customFormat="false" ht="15" hidden="false" customHeight="false" outlineLevel="0" collapsed="false">
      <c r="A984" s="11"/>
      <c r="B984" s="12" t="str">
        <f aca="false">IF(A984="","",IFERROR(INDEX(Productos!$D$2:$D$1001,MATCH(A984,Productos!$A$2:$A$1001,0))&amp;" — "&amp;INDEX(Productos!$E$2:$E$1001,MATCH(A984,Productos!$A$2:$A$1001,0)),"SKU no existe en Productos"))</f>
        <v/>
      </c>
      <c r="C984" s="11"/>
      <c r="D984" s="11"/>
      <c r="E984" s="11"/>
      <c r="F984" s="12" t="str">
        <f aca="false">IF(A984="","",SUM(C984:E984))</f>
        <v/>
      </c>
      <c r="G984" s="16" t="str">
        <f aca="false">IF(A984="","",IFERROR(INDEX(Productos!$K$2:$K$1001,MATCH(A984,Productos!$A$2:$A$1001,0)),""))</f>
        <v/>
      </c>
      <c r="H984" s="16" t="str">
        <f aca="false">IF(OR(A984="",G984=""),"",F984*G984)</f>
        <v/>
      </c>
    </row>
    <row r="985" customFormat="false" ht="15" hidden="false" customHeight="false" outlineLevel="0" collapsed="false">
      <c r="A985" s="11"/>
      <c r="B985" s="12" t="str">
        <f aca="false">IF(A985="","",IFERROR(INDEX(Productos!$D$2:$D$1001,MATCH(A985,Productos!$A$2:$A$1001,0))&amp;" — "&amp;INDEX(Productos!$E$2:$E$1001,MATCH(A985,Productos!$A$2:$A$1001,0)),"SKU no existe en Productos"))</f>
        <v/>
      </c>
      <c r="C985" s="11"/>
      <c r="D985" s="11"/>
      <c r="E985" s="11"/>
      <c r="F985" s="12" t="str">
        <f aca="false">IF(A985="","",SUM(C985:E985))</f>
        <v/>
      </c>
      <c r="G985" s="16" t="str">
        <f aca="false">IF(A985="","",IFERROR(INDEX(Productos!$K$2:$K$1001,MATCH(A985,Productos!$A$2:$A$1001,0)),""))</f>
        <v/>
      </c>
      <c r="H985" s="16" t="str">
        <f aca="false">IF(OR(A985="",G985=""),"",F985*G985)</f>
        <v/>
      </c>
    </row>
    <row r="986" customFormat="false" ht="15" hidden="false" customHeight="false" outlineLevel="0" collapsed="false">
      <c r="A986" s="11"/>
      <c r="B986" s="12" t="str">
        <f aca="false">IF(A986="","",IFERROR(INDEX(Productos!$D$2:$D$1001,MATCH(A986,Productos!$A$2:$A$1001,0))&amp;" — "&amp;INDEX(Productos!$E$2:$E$1001,MATCH(A986,Productos!$A$2:$A$1001,0)),"SKU no existe en Productos"))</f>
        <v/>
      </c>
      <c r="C986" s="11"/>
      <c r="D986" s="11"/>
      <c r="E986" s="11"/>
      <c r="F986" s="12" t="str">
        <f aca="false">IF(A986="","",SUM(C986:E986))</f>
        <v/>
      </c>
      <c r="G986" s="16" t="str">
        <f aca="false">IF(A986="","",IFERROR(INDEX(Productos!$K$2:$K$1001,MATCH(A986,Productos!$A$2:$A$1001,0)),""))</f>
        <v/>
      </c>
      <c r="H986" s="16" t="str">
        <f aca="false">IF(OR(A986="",G986=""),"",F986*G986)</f>
        <v/>
      </c>
    </row>
    <row r="987" customFormat="false" ht="15" hidden="false" customHeight="false" outlineLevel="0" collapsed="false">
      <c r="A987" s="11"/>
      <c r="B987" s="12" t="str">
        <f aca="false">IF(A987="","",IFERROR(INDEX(Productos!$D$2:$D$1001,MATCH(A987,Productos!$A$2:$A$1001,0))&amp;" — "&amp;INDEX(Productos!$E$2:$E$1001,MATCH(A987,Productos!$A$2:$A$1001,0)),"SKU no existe en Productos"))</f>
        <v/>
      </c>
      <c r="C987" s="11"/>
      <c r="D987" s="11"/>
      <c r="E987" s="11"/>
      <c r="F987" s="12" t="str">
        <f aca="false">IF(A987="","",SUM(C987:E987))</f>
        <v/>
      </c>
      <c r="G987" s="16" t="str">
        <f aca="false">IF(A987="","",IFERROR(INDEX(Productos!$K$2:$K$1001,MATCH(A987,Productos!$A$2:$A$1001,0)),""))</f>
        <v/>
      </c>
      <c r="H987" s="16" t="str">
        <f aca="false">IF(OR(A987="",G987=""),"",F987*G987)</f>
        <v/>
      </c>
    </row>
    <row r="988" customFormat="false" ht="15" hidden="false" customHeight="false" outlineLevel="0" collapsed="false">
      <c r="A988" s="11"/>
      <c r="B988" s="12" t="str">
        <f aca="false">IF(A988="","",IFERROR(INDEX(Productos!$D$2:$D$1001,MATCH(A988,Productos!$A$2:$A$1001,0))&amp;" — "&amp;INDEX(Productos!$E$2:$E$1001,MATCH(A988,Productos!$A$2:$A$1001,0)),"SKU no existe en Productos"))</f>
        <v/>
      </c>
      <c r="C988" s="11"/>
      <c r="D988" s="11"/>
      <c r="E988" s="11"/>
      <c r="F988" s="12" t="str">
        <f aca="false">IF(A988="","",SUM(C988:E988))</f>
        <v/>
      </c>
      <c r="G988" s="16" t="str">
        <f aca="false">IF(A988="","",IFERROR(INDEX(Productos!$K$2:$K$1001,MATCH(A988,Productos!$A$2:$A$1001,0)),""))</f>
        <v/>
      </c>
      <c r="H988" s="16" t="str">
        <f aca="false">IF(OR(A988="",G988=""),"",F988*G988)</f>
        <v/>
      </c>
    </row>
    <row r="989" customFormat="false" ht="15" hidden="false" customHeight="false" outlineLevel="0" collapsed="false">
      <c r="A989" s="11"/>
      <c r="B989" s="12" t="str">
        <f aca="false">IF(A989="","",IFERROR(INDEX(Productos!$D$2:$D$1001,MATCH(A989,Productos!$A$2:$A$1001,0))&amp;" — "&amp;INDEX(Productos!$E$2:$E$1001,MATCH(A989,Productos!$A$2:$A$1001,0)),"SKU no existe en Productos"))</f>
        <v/>
      </c>
      <c r="C989" s="11"/>
      <c r="D989" s="11"/>
      <c r="E989" s="11"/>
      <c r="F989" s="12" t="str">
        <f aca="false">IF(A989="","",SUM(C989:E989))</f>
        <v/>
      </c>
      <c r="G989" s="16" t="str">
        <f aca="false">IF(A989="","",IFERROR(INDEX(Productos!$K$2:$K$1001,MATCH(A989,Productos!$A$2:$A$1001,0)),""))</f>
        <v/>
      </c>
      <c r="H989" s="16" t="str">
        <f aca="false">IF(OR(A989="",G989=""),"",F989*G989)</f>
        <v/>
      </c>
    </row>
    <row r="990" customFormat="false" ht="15" hidden="false" customHeight="false" outlineLevel="0" collapsed="false">
      <c r="A990" s="11"/>
      <c r="B990" s="12" t="str">
        <f aca="false">IF(A990="","",IFERROR(INDEX(Productos!$D$2:$D$1001,MATCH(A990,Productos!$A$2:$A$1001,0))&amp;" — "&amp;INDEX(Productos!$E$2:$E$1001,MATCH(A990,Productos!$A$2:$A$1001,0)),"SKU no existe en Productos"))</f>
        <v/>
      </c>
      <c r="C990" s="11"/>
      <c r="D990" s="11"/>
      <c r="E990" s="11"/>
      <c r="F990" s="12" t="str">
        <f aca="false">IF(A990="","",SUM(C990:E990))</f>
        <v/>
      </c>
      <c r="G990" s="16" t="str">
        <f aca="false">IF(A990="","",IFERROR(INDEX(Productos!$K$2:$K$1001,MATCH(A990,Productos!$A$2:$A$1001,0)),""))</f>
        <v/>
      </c>
      <c r="H990" s="16" t="str">
        <f aca="false">IF(OR(A990="",G990=""),"",F990*G990)</f>
        <v/>
      </c>
    </row>
    <row r="991" customFormat="false" ht="15" hidden="false" customHeight="false" outlineLevel="0" collapsed="false">
      <c r="A991" s="11"/>
      <c r="B991" s="12" t="str">
        <f aca="false">IF(A991="","",IFERROR(INDEX(Productos!$D$2:$D$1001,MATCH(A991,Productos!$A$2:$A$1001,0))&amp;" — "&amp;INDEX(Productos!$E$2:$E$1001,MATCH(A991,Productos!$A$2:$A$1001,0)),"SKU no existe en Productos"))</f>
        <v/>
      </c>
      <c r="C991" s="11"/>
      <c r="D991" s="11"/>
      <c r="E991" s="11"/>
      <c r="F991" s="12" t="str">
        <f aca="false">IF(A991="","",SUM(C991:E991))</f>
        <v/>
      </c>
      <c r="G991" s="16" t="str">
        <f aca="false">IF(A991="","",IFERROR(INDEX(Productos!$K$2:$K$1001,MATCH(A991,Productos!$A$2:$A$1001,0)),""))</f>
        <v/>
      </c>
      <c r="H991" s="16" t="str">
        <f aca="false">IF(OR(A991="",G991=""),"",F991*G991)</f>
        <v/>
      </c>
    </row>
    <row r="992" customFormat="false" ht="15" hidden="false" customHeight="false" outlineLevel="0" collapsed="false">
      <c r="A992" s="11"/>
      <c r="B992" s="12" t="str">
        <f aca="false">IF(A992="","",IFERROR(INDEX(Productos!$D$2:$D$1001,MATCH(A992,Productos!$A$2:$A$1001,0))&amp;" — "&amp;INDEX(Productos!$E$2:$E$1001,MATCH(A992,Productos!$A$2:$A$1001,0)),"SKU no existe en Productos"))</f>
        <v/>
      </c>
      <c r="C992" s="11"/>
      <c r="D992" s="11"/>
      <c r="E992" s="11"/>
      <c r="F992" s="12" t="str">
        <f aca="false">IF(A992="","",SUM(C992:E992))</f>
        <v/>
      </c>
      <c r="G992" s="16" t="str">
        <f aca="false">IF(A992="","",IFERROR(INDEX(Productos!$K$2:$K$1001,MATCH(A992,Productos!$A$2:$A$1001,0)),""))</f>
        <v/>
      </c>
      <c r="H992" s="16" t="str">
        <f aca="false">IF(OR(A992="",G992=""),"",F992*G992)</f>
        <v/>
      </c>
    </row>
    <row r="993" customFormat="false" ht="15" hidden="false" customHeight="false" outlineLevel="0" collapsed="false">
      <c r="A993" s="11"/>
      <c r="B993" s="12" t="str">
        <f aca="false">IF(A993="","",IFERROR(INDEX(Productos!$D$2:$D$1001,MATCH(A993,Productos!$A$2:$A$1001,0))&amp;" — "&amp;INDEX(Productos!$E$2:$E$1001,MATCH(A993,Productos!$A$2:$A$1001,0)),"SKU no existe en Productos"))</f>
        <v/>
      </c>
      <c r="C993" s="11"/>
      <c r="D993" s="11"/>
      <c r="E993" s="11"/>
      <c r="F993" s="12" t="str">
        <f aca="false">IF(A993="","",SUM(C993:E993))</f>
        <v/>
      </c>
      <c r="G993" s="16" t="str">
        <f aca="false">IF(A993="","",IFERROR(INDEX(Productos!$K$2:$K$1001,MATCH(A993,Productos!$A$2:$A$1001,0)),""))</f>
        <v/>
      </c>
      <c r="H993" s="16" t="str">
        <f aca="false">IF(OR(A993="",G993=""),"",F993*G993)</f>
        <v/>
      </c>
    </row>
    <row r="994" customFormat="false" ht="15" hidden="false" customHeight="false" outlineLevel="0" collapsed="false">
      <c r="A994" s="11"/>
      <c r="B994" s="12" t="str">
        <f aca="false">IF(A994="","",IFERROR(INDEX(Productos!$D$2:$D$1001,MATCH(A994,Productos!$A$2:$A$1001,0))&amp;" — "&amp;INDEX(Productos!$E$2:$E$1001,MATCH(A994,Productos!$A$2:$A$1001,0)),"SKU no existe en Productos"))</f>
        <v/>
      </c>
      <c r="C994" s="11"/>
      <c r="D994" s="11"/>
      <c r="E994" s="11"/>
      <c r="F994" s="12" t="str">
        <f aca="false">IF(A994="","",SUM(C994:E994))</f>
        <v/>
      </c>
      <c r="G994" s="16" t="str">
        <f aca="false">IF(A994="","",IFERROR(INDEX(Productos!$K$2:$K$1001,MATCH(A994,Productos!$A$2:$A$1001,0)),""))</f>
        <v/>
      </c>
      <c r="H994" s="16" t="str">
        <f aca="false">IF(OR(A994="",G994=""),"",F994*G994)</f>
        <v/>
      </c>
    </row>
    <row r="995" customFormat="false" ht="15" hidden="false" customHeight="false" outlineLevel="0" collapsed="false">
      <c r="A995" s="11"/>
      <c r="B995" s="12" t="str">
        <f aca="false">IF(A995="","",IFERROR(INDEX(Productos!$D$2:$D$1001,MATCH(A995,Productos!$A$2:$A$1001,0))&amp;" — "&amp;INDEX(Productos!$E$2:$E$1001,MATCH(A995,Productos!$A$2:$A$1001,0)),"SKU no existe en Productos"))</f>
        <v/>
      </c>
      <c r="C995" s="11"/>
      <c r="D995" s="11"/>
      <c r="E995" s="11"/>
      <c r="F995" s="12" t="str">
        <f aca="false">IF(A995="","",SUM(C995:E995))</f>
        <v/>
      </c>
      <c r="G995" s="16" t="str">
        <f aca="false">IF(A995="","",IFERROR(INDEX(Productos!$K$2:$K$1001,MATCH(A995,Productos!$A$2:$A$1001,0)),""))</f>
        <v/>
      </c>
      <c r="H995" s="16" t="str">
        <f aca="false">IF(OR(A995="",G995=""),"",F995*G995)</f>
        <v/>
      </c>
    </row>
    <row r="996" customFormat="false" ht="15" hidden="false" customHeight="false" outlineLevel="0" collapsed="false">
      <c r="A996" s="11"/>
      <c r="B996" s="12" t="str">
        <f aca="false">IF(A996="","",IFERROR(INDEX(Productos!$D$2:$D$1001,MATCH(A996,Productos!$A$2:$A$1001,0))&amp;" — "&amp;INDEX(Productos!$E$2:$E$1001,MATCH(A996,Productos!$A$2:$A$1001,0)),"SKU no existe en Productos"))</f>
        <v/>
      </c>
      <c r="C996" s="11"/>
      <c r="D996" s="11"/>
      <c r="E996" s="11"/>
      <c r="F996" s="12" t="str">
        <f aca="false">IF(A996="","",SUM(C996:E996))</f>
        <v/>
      </c>
      <c r="G996" s="16" t="str">
        <f aca="false">IF(A996="","",IFERROR(INDEX(Productos!$K$2:$K$1001,MATCH(A996,Productos!$A$2:$A$1001,0)),""))</f>
        <v/>
      </c>
      <c r="H996" s="16" t="str">
        <f aca="false">IF(OR(A996="",G996=""),"",F996*G996)</f>
        <v/>
      </c>
    </row>
    <row r="997" customFormat="false" ht="15" hidden="false" customHeight="false" outlineLevel="0" collapsed="false">
      <c r="A997" s="11"/>
      <c r="B997" s="12" t="str">
        <f aca="false">IF(A997="","",IFERROR(INDEX(Productos!$D$2:$D$1001,MATCH(A997,Productos!$A$2:$A$1001,0))&amp;" — "&amp;INDEX(Productos!$E$2:$E$1001,MATCH(A997,Productos!$A$2:$A$1001,0)),"SKU no existe en Productos"))</f>
        <v/>
      </c>
      <c r="C997" s="11"/>
      <c r="D997" s="11"/>
      <c r="E997" s="11"/>
      <c r="F997" s="12" t="str">
        <f aca="false">IF(A997="","",SUM(C997:E997))</f>
        <v/>
      </c>
      <c r="G997" s="16" t="str">
        <f aca="false">IF(A997="","",IFERROR(INDEX(Productos!$K$2:$K$1001,MATCH(A997,Productos!$A$2:$A$1001,0)),""))</f>
        <v/>
      </c>
      <c r="H997" s="16" t="str">
        <f aca="false">IF(OR(A997="",G997=""),"",F997*G997)</f>
        <v/>
      </c>
    </row>
    <row r="998" customFormat="false" ht="15" hidden="false" customHeight="false" outlineLevel="0" collapsed="false">
      <c r="A998" s="11"/>
      <c r="B998" s="12" t="str">
        <f aca="false">IF(A998="","",IFERROR(INDEX(Productos!$D$2:$D$1001,MATCH(A998,Productos!$A$2:$A$1001,0))&amp;" — "&amp;INDEX(Productos!$E$2:$E$1001,MATCH(A998,Productos!$A$2:$A$1001,0)),"SKU no existe en Productos"))</f>
        <v/>
      </c>
      <c r="C998" s="11"/>
      <c r="D998" s="11"/>
      <c r="E998" s="11"/>
      <c r="F998" s="12" t="str">
        <f aca="false">IF(A998="","",SUM(C998:E998))</f>
        <v/>
      </c>
      <c r="G998" s="16" t="str">
        <f aca="false">IF(A998="","",IFERROR(INDEX(Productos!$K$2:$K$1001,MATCH(A998,Productos!$A$2:$A$1001,0)),""))</f>
        <v/>
      </c>
      <c r="H998" s="16" t="str">
        <f aca="false">IF(OR(A998="",G998=""),"",F998*G998)</f>
        <v/>
      </c>
    </row>
    <row r="999" customFormat="false" ht="15" hidden="false" customHeight="false" outlineLevel="0" collapsed="false">
      <c r="A999" s="11"/>
      <c r="B999" s="12" t="str">
        <f aca="false">IF(A999="","",IFERROR(INDEX(Productos!$D$2:$D$1001,MATCH(A999,Productos!$A$2:$A$1001,0))&amp;" — "&amp;INDEX(Productos!$E$2:$E$1001,MATCH(A999,Productos!$A$2:$A$1001,0)),"SKU no existe en Productos"))</f>
        <v/>
      </c>
      <c r="C999" s="11"/>
      <c r="D999" s="11"/>
      <c r="E999" s="11"/>
      <c r="F999" s="12" t="str">
        <f aca="false">IF(A999="","",SUM(C999:E999))</f>
        <v/>
      </c>
      <c r="G999" s="16" t="str">
        <f aca="false">IF(A999="","",IFERROR(INDEX(Productos!$K$2:$K$1001,MATCH(A999,Productos!$A$2:$A$1001,0)),""))</f>
        <v/>
      </c>
      <c r="H999" s="16" t="str">
        <f aca="false">IF(OR(A999="",G999=""),"",F999*G999)</f>
        <v/>
      </c>
    </row>
    <row r="1000" customFormat="false" ht="15" hidden="false" customHeight="false" outlineLevel="0" collapsed="false">
      <c r="A1000" s="11"/>
      <c r="B1000" s="12" t="str">
        <f aca="false">IF(A1000="","",IFERROR(INDEX(Productos!$D$2:$D$1001,MATCH(A1000,Productos!$A$2:$A$1001,0))&amp;" — "&amp;INDEX(Productos!$E$2:$E$1001,MATCH(A1000,Productos!$A$2:$A$1001,0)),"SKU no existe en Productos"))</f>
        <v/>
      </c>
      <c r="C1000" s="11"/>
      <c r="D1000" s="11"/>
      <c r="E1000" s="11"/>
      <c r="F1000" s="12" t="str">
        <f aca="false">IF(A1000="","",SUM(C1000:E1000))</f>
        <v/>
      </c>
      <c r="G1000" s="16" t="str">
        <f aca="false">IF(A1000="","",IFERROR(INDEX(Productos!$K$2:$K$1001,MATCH(A1000,Productos!$A$2:$A$1001,0)),""))</f>
        <v/>
      </c>
      <c r="H1000" s="16" t="str">
        <f aca="false">IF(OR(A1000="",G1000=""),"",F1000*G1000)</f>
        <v/>
      </c>
    </row>
    <row r="1001" customFormat="false" ht="15" hidden="false" customHeight="false" outlineLevel="0" collapsed="false">
      <c r="A1001" s="11"/>
      <c r="B1001" s="12" t="str">
        <f aca="false">IF(A1001="","",IFERROR(INDEX(Productos!$D$2:$D$1001,MATCH(A1001,Productos!$A$2:$A$1001,0))&amp;" — "&amp;INDEX(Productos!$E$2:$E$1001,MATCH(A1001,Productos!$A$2:$A$1001,0)),"SKU no existe en Productos"))</f>
        <v/>
      </c>
      <c r="C1001" s="11"/>
      <c r="D1001" s="11"/>
      <c r="E1001" s="11"/>
      <c r="F1001" s="12" t="str">
        <f aca="false">IF(A1001="","",SUM(C1001:E1001))</f>
        <v/>
      </c>
      <c r="G1001" s="16" t="str">
        <f aca="false">IF(A1001="","",IFERROR(INDEX(Productos!$K$2:$K$1001,MATCH(A1001,Productos!$A$2:$A$1001,0)),""))</f>
        <v/>
      </c>
      <c r="H1001" s="16" t="str">
        <f aca="false">IF(OR(A1001="",G1001=""),"",F1001*G1001)</f>
        <v/>
      </c>
    </row>
  </sheetData>
  <dataValidations count="2">
    <dataValidation allowBlank="true" error="El SKU debe existir en la hoja Productos" errorStyle="stop" errorTitle="Valor no válido" operator="between" showDropDown="false" showErrorMessage="true" showInputMessage="false" sqref="A2:A1001" type="list">
      <formula1>Productos!$A$2:$A$1001</formula1>
      <formula2>0</formula2>
    </dataValidation>
    <dataValidation allowBlank="true" error="Cantidad entera, 0 o más" errorStyle="stop" operator="greaterThanOrEqual" showDropDown="false" showErrorMessage="true" showInputMessage="false" sqref="C2:E1001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28"/>
  </cols>
  <sheetData>
    <row r="1" customFormat="false" ht="42" hidden="false" customHeight="true" outlineLevel="0" collapsed="false">
      <c r="A1" s="10" t="s">
        <v>62</v>
      </c>
      <c r="B1" s="10" t="s">
        <v>112</v>
      </c>
      <c r="C1" s="10" t="s">
        <v>113</v>
      </c>
      <c r="D1" s="10" t="s">
        <v>114</v>
      </c>
      <c r="E1" s="10" t="s">
        <v>115</v>
      </c>
      <c r="F1" s="10" t="s">
        <v>116</v>
      </c>
    </row>
    <row r="2" customFormat="false" ht="15" hidden="false" customHeight="false" outlineLevel="0" collapsed="false">
      <c r="A2" s="13" t="s">
        <v>117</v>
      </c>
      <c r="B2" s="13" t="s">
        <v>118</v>
      </c>
      <c r="C2" s="13" t="s">
        <v>119</v>
      </c>
      <c r="D2" s="13" t="s">
        <v>120</v>
      </c>
      <c r="E2" s="13"/>
      <c r="F2" s="13"/>
    </row>
    <row r="3" customFormat="false" ht="15" hidden="false" customHeight="false" outlineLevel="0" collapsed="false">
      <c r="A3" s="11"/>
      <c r="B3" s="11"/>
      <c r="C3" s="11"/>
      <c r="D3" s="11"/>
      <c r="E3" s="11"/>
      <c r="F3" s="11"/>
    </row>
    <row r="4" customFormat="false" ht="15" hidden="false" customHeight="false" outlineLevel="0" collapsed="false">
      <c r="A4" s="11"/>
      <c r="B4" s="11"/>
      <c r="C4" s="11"/>
      <c r="D4" s="11"/>
      <c r="E4" s="11"/>
      <c r="F4" s="11"/>
    </row>
    <row r="5" customFormat="false" ht="15" hidden="false" customHeight="false" outlineLevel="0" collapsed="false">
      <c r="A5" s="11"/>
      <c r="B5" s="11"/>
      <c r="C5" s="11"/>
      <c r="D5" s="11"/>
      <c r="E5" s="11"/>
      <c r="F5" s="11"/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</row>
    <row r="62" customFormat="false" ht="15" hidden="false" customHeight="false" outlineLevel="0" collapsed="false">
      <c r="A62" s="11"/>
      <c r="B62" s="11"/>
      <c r="C62" s="11"/>
      <c r="D62" s="11"/>
      <c r="E62" s="11"/>
      <c r="F62" s="11"/>
    </row>
    <row r="63" customFormat="false" ht="15" hidden="false" customHeight="false" outlineLevel="0" collapsed="false">
      <c r="A63" s="11"/>
      <c r="B63" s="11"/>
      <c r="C63" s="11"/>
      <c r="D63" s="11"/>
      <c r="E63" s="11"/>
      <c r="F63" s="11"/>
    </row>
    <row r="64" customFormat="false" ht="15" hidden="false" customHeight="false" outlineLevel="0" collapsed="false">
      <c r="A64" s="11"/>
      <c r="B64" s="11"/>
      <c r="C64" s="11"/>
      <c r="D64" s="11"/>
      <c r="E64" s="11"/>
      <c r="F64" s="11"/>
    </row>
    <row r="65" customFormat="false" ht="15" hidden="false" customHeight="false" outlineLevel="0" collapsed="false">
      <c r="A65" s="11"/>
      <c r="B65" s="11"/>
      <c r="C65" s="11"/>
      <c r="D65" s="11"/>
      <c r="E65" s="11"/>
      <c r="F65" s="11"/>
    </row>
    <row r="66" customFormat="false" ht="15" hidden="false" customHeight="false" outlineLevel="0" collapsed="false">
      <c r="A66" s="11"/>
      <c r="B66" s="11"/>
      <c r="C66" s="11"/>
      <c r="D66" s="11"/>
      <c r="E66" s="11"/>
      <c r="F66" s="11"/>
    </row>
    <row r="67" customFormat="false" ht="15" hidden="false" customHeight="false" outlineLevel="0" collapsed="false">
      <c r="A67" s="11"/>
      <c r="B67" s="11"/>
      <c r="C67" s="11"/>
      <c r="D67" s="11"/>
      <c r="E67" s="11"/>
      <c r="F67" s="11"/>
    </row>
    <row r="68" customFormat="false" ht="15" hidden="false" customHeight="false" outlineLevel="0" collapsed="false">
      <c r="A68" s="11"/>
      <c r="B68" s="11"/>
      <c r="C68" s="11"/>
      <c r="D68" s="11"/>
      <c r="E68" s="11"/>
      <c r="F68" s="11"/>
    </row>
    <row r="69" customFormat="false" ht="15" hidden="false" customHeight="false" outlineLevel="0" collapsed="false">
      <c r="A69" s="11"/>
      <c r="B69" s="11"/>
      <c r="C69" s="11"/>
      <c r="D69" s="11"/>
      <c r="E69" s="11"/>
      <c r="F69" s="11"/>
    </row>
    <row r="70" customFormat="false" ht="15" hidden="false" customHeight="false" outlineLevel="0" collapsed="false">
      <c r="A70" s="11"/>
      <c r="B70" s="11"/>
      <c r="C70" s="11"/>
      <c r="D70" s="11"/>
      <c r="E70" s="11"/>
      <c r="F70" s="11"/>
    </row>
    <row r="71" customFormat="false" ht="15" hidden="false" customHeight="false" outlineLevel="0" collapsed="false">
      <c r="A71" s="11"/>
      <c r="B71" s="11"/>
      <c r="C71" s="11"/>
      <c r="D71" s="11"/>
      <c r="E71" s="11"/>
      <c r="F71" s="11"/>
    </row>
    <row r="72" customFormat="false" ht="15" hidden="false" customHeight="false" outlineLevel="0" collapsed="false">
      <c r="A72" s="11"/>
      <c r="B72" s="11"/>
      <c r="C72" s="11"/>
      <c r="D72" s="11"/>
      <c r="E72" s="11"/>
      <c r="F72" s="11"/>
    </row>
    <row r="73" customFormat="false" ht="15" hidden="false" customHeight="false" outlineLevel="0" collapsed="false">
      <c r="A73" s="11"/>
      <c r="B73" s="11"/>
      <c r="C73" s="11"/>
      <c r="D73" s="11"/>
      <c r="E73" s="11"/>
      <c r="F73" s="11"/>
    </row>
    <row r="74" customFormat="false" ht="15" hidden="false" customHeight="false" outlineLevel="0" collapsed="false">
      <c r="A74" s="11"/>
      <c r="B74" s="11"/>
      <c r="C74" s="11"/>
      <c r="D74" s="11"/>
      <c r="E74" s="11"/>
      <c r="F74" s="11"/>
    </row>
    <row r="75" customFormat="false" ht="15" hidden="false" customHeight="false" outlineLevel="0" collapsed="false">
      <c r="A75" s="11"/>
      <c r="B75" s="11"/>
      <c r="C75" s="11"/>
      <c r="D75" s="11"/>
      <c r="E75" s="11"/>
      <c r="F75" s="11"/>
    </row>
    <row r="76" customFormat="false" ht="15" hidden="false" customHeight="false" outlineLevel="0" collapsed="false">
      <c r="A76" s="11"/>
      <c r="B76" s="11"/>
      <c r="C76" s="11"/>
      <c r="D76" s="11"/>
      <c r="E76" s="11"/>
      <c r="F76" s="11"/>
    </row>
    <row r="77" customFormat="false" ht="15" hidden="false" customHeight="false" outlineLevel="0" collapsed="false">
      <c r="A77" s="11"/>
      <c r="B77" s="11"/>
      <c r="C77" s="11"/>
      <c r="D77" s="11"/>
      <c r="E77" s="11"/>
      <c r="F77" s="11"/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1"/>
    </row>
    <row r="79" customFormat="false" ht="15" hidden="false" customHeight="false" outlineLevel="0" collapsed="false">
      <c r="A79" s="11"/>
      <c r="B79" s="11"/>
      <c r="C79" s="11"/>
      <c r="D79" s="11"/>
      <c r="E79" s="11"/>
      <c r="F79" s="11"/>
    </row>
    <row r="80" customFormat="false" ht="15" hidden="false" customHeight="false" outlineLevel="0" collapsed="false">
      <c r="A80" s="11"/>
      <c r="B80" s="11"/>
      <c r="C80" s="11"/>
      <c r="D80" s="11"/>
      <c r="E80" s="11"/>
      <c r="F80" s="11"/>
    </row>
    <row r="81" customFormat="false" ht="15" hidden="false" customHeight="false" outlineLevel="0" collapsed="false">
      <c r="A81" s="11"/>
      <c r="B81" s="11"/>
      <c r="C81" s="11"/>
      <c r="D81" s="11"/>
      <c r="E81" s="11"/>
      <c r="F81" s="11"/>
    </row>
    <row r="82" customFormat="false" ht="15" hidden="false" customHeight="false" outlineLevel="0" collapsed="false">
      <c r="A82" s="11"/>
      <c r="B82" s="11"/>
      <c r="C82" s="11"/>
      <c r="D82" s="11"/>
      <c r="E82" s="11"/>
      <c r="F82" s="11"/>
    </row>
    <row r="83" customFormat="false" ht="15" hidden="false" customHeight="false" outlineLevel="0" collapsed="false">
      <c r="A83" s="11"/>
      <c r="B83" s="11"/>
      <c r="C83" s="11"/>
      <c r="D83" s="11"/>
      <c r="E83" s="11"/>
      <c r="F83" s="11"/>
    </row>
    <row r="84" customFormat="false" ht="15" hidden="false" customHeight="false" outlineLevel="0" collapsed="false">
      <c r="A84" s="11"/>
      <c r="B84" s="11"/>
      <c r="C84" s="11"/>
      <c r="D84" s="11"/>
      <c r="E84" s="11"/>
      <c r="F84" s="11"/>
    </row>
    <row r="85" customFormat="false" ht="15" hidden="false" customHeight="false" outlineLevel="0" collapsed="false">
      <c r="A85" s="11"/>
      <c r="B85" s="11"/>
      <c r="C85" s="11"/>
      <c r="D85" s="11"/>
      <c r="E85" s="11"/>
      <c r="F85" s="11"/>
    </row>
    <row r="86" customFormat="false" ht="15" hidden="false" customHeight="false" outlineLevel="0" collapsed="false">
      <c r="A86" s="11"/>
      <c r="B86" s="11"/>
      <c r="C86" s="11"/>
      <c r="D86" s="11"/>
      <c r="E86" s="11"/>
      <c r="F86" s="11"/>
    </row>
    <row r="87" customFormat="false" ht="15" hidden="false" customHeight="false" outlineLevel="0" collapsed="false">
      <c r="A87" s="11"/>
      <c r="B87" s="11"/>
      <c r="C87" s="11"/>
      <c r="D87" s="11"/>
      <c r="E87" s="11"/>
      <c r="F87" s="11"/>
    </row>
    <row r="88" customFormat="false" ht="15" hidden="false" customHeight="false" outlineLevel="0" collapsed="false">
      <c r="A88" s="11"/>
      <c r="B88" s="11"/>
      <c r="C88" s="11"/>
      <c r="D88" s="11"/>
      <c r="E88" s="11"/>
      <c r="F88" s="11"/>
    </row>
    <row r="89" customFormat="false" ht="15" hidden="false" customHeight="false" outlineLevel="0" collapsed="false">
      <c r="A89" s="11"/>
      <c r="B89" s="11"/>
      <c r="C89" s="11"/>
      <c r="D89" s="11"/>
      <c r="E89" s="11"/>
      <c r="F89" s="11"/>
    </row>
    <row r="90" customFormat="false" ht="15" hidden="false" customHeight="false" outlineLevel="0" collapsed="false">
      <c r="A90" s="11"/>
      <c r="B90" s="11"/>
      <c r="C90" s="11"/>
      <c r="D90" s="11"/>
      <c r="E90" s="11"/>
      <c r="F90" s="11"/>
    </row>
    <row r="91" customFormat="false" ht="15" hidden="false" customHeight="false" outlineLevel="0" collapsed="false">
      <c r="A91" s="11"/>
      <c r="B91" s="11"/>
      <c r="C91" s="11"/>
      <c r="D91" s="11"/>
      <c r="E91" s="11"/>
      <c r="F91" s="11"/>
    </row>
    <row r="92" customFormat="false" ht="15" hidden="false" customHeight="false" outlineLevel="0" collapsed="false">
      <c r="A92" s="11"/>
      <c r="B92" s="11"/>
      <c r="C92" s="11"/>
      <c r="D92" s="11"/>
      <c r="E92" s="11"/>
      <c r="F92" s="11"/>
    </row>
    <row r="93" customFormat="false" ht="15" hidden="false" customHeight="false" outlineLevel="0" collapsed="false">
      <c r="A93" s="11"/>
      <c r="B93" s="11"/>
      <c r="C93" s="11"/>
      <c r="D93" s="11"/>
      <c r="E93" s="11"/>
      <c r="F93" s="11"/>
    </row>
    <row r="94" customFormat="false" ht="15" hidden="false" customHeight="false" outlineLevel="0" collapsed="false">
      <c r="A94" s="11"/>
      <c r="B94" s="11"/>
      <c r="C94" s="11"/>
      <c r="D94" s="11"/>
      <c r="E94" s="11"/>
      <c r="F94" s="11"/>
    </row>
    <row r="95" customFormat="false" ht="15" hidden="false" customHeight="false" outlineLevel="0" collapsed="false">
      <c r="A95" s="11"/>
      <c r="B95" s="11"/>
      <c r="C95" s="11"/>
      <c r="D95" s="11"/>
      <c r="E95" s="11"/>
      <c r="F95" s="11"/>
    </row>
    <row r="96" customFormat="false" ht="15" hidden="false" customHeight="false" outlineLevel="0" collapsed="false">
      <c r="A96" s="11"/>
      <c r="B96" s="11"/>
      <c r="C96" s="11"/>
      <c r="D96" s="11"/>
      <c r="E96" s="11"/>
      <c r="F96" s="11"/>
    </row>
    <row r="97" customFormat="false" ht="15" hidden="false" customHeight="false" outlineLevel="0" collapsed="false">
      <c r="A97" s="11"/>
      <c r="B97" s="11"/>
      <c r="C97" s="11"/>
      <c r="D97" s="11"/>
      <c r="E97" s="11"/>
      <c r="F97" s="11"/>
    </row>
    <row r="98" customFormat="false" ht="15" hidden="false" customHeight="false" outlineLevel="0" collapsed="false">
      <c r="A98" s="11"/>
      <c r="B98" s="11"/>
      <c r="C98" s="11"/>
      <c r="D98" s="11"/>
      <c r="E98" s="11"/>
      <c r="F98" s="11"/>
    </row>
    <row r="99" customFormat="false" ht="15" hidden="false" customHeight="false" outlineLevel="0" collapsed="false">
      <c r="A99" s="11"/>
      <c r="B99" s="11"/>
      <c r="C99" s="11"/>
      <c r="D99" s="11"/>
      <c r="E99" s="11"/>
      <c r="F99" s="11"/>
    </row>
    <row r="100" customFormat="false" ht="15" hidden="false" customHeight="false" outlineLevel="0" collapsed="false">
      <c r="A100" s="11"/>
      <c r="B100" s="11"/>
      <c r="C100" s="11"/>
      <c r="D100" s="11"/>
      <c r="E100" s="11"/>
      <c r="F100" s="11"/>
    </row>
    <row r="101" customFormat="false" ht="15" hidden="false" customHeight="false" outlineLevel="0" collapsed="false">
      <c r="A101" s="11"/>
      <c r="B101" s="11"/>
      <c r="C101" s="11"/>
      <c r="D101" s="11"/>
      <c r="E101" s="11"/>
      <c r="F101" s="11"/>
    </row>
  </sheetData>
  <dataValidations count="1">
    <dataValidation allowBlank="true" error="USD o NIO" errorStyle="stop" errorTitle="Valor no válido" operator="between" showDropDown="false" showErrorMessage="true" showInputMessage="false" sqref="C2:C101" type="list">
      <formula1>"USD,NIO"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8"/>
    <col collapsed="false" customWidth="true" hidden="false" outlineLevel="0" max="6" min="6" style="0" width="16"/>
  </cols>
  <sheetData>
    <row r="1" customFormat="false" ht="42" hidden="false" customHeight="true" outlineLevel="0" collapsed="false">
      <c r="A1" s="10" t="s">
        <v>121</v>
      </c>
      <c r="B1" s="10" t="s">
        <v>122</v>
      </c>
      <c r="C1" s="10" t="s">
        <v>123</v>
      </c>
      <c r="D1" s="10" t="s">
        <v>124</v>
      </c>
      <c r="E1" s="10" t="s">
        <v>116</v>
      </c>
      <c r="F1" s="10" t="s">
        <v>115</v>
      </c>
    </row>
    <row r="2" customFormat="false" ht="15" hidden="false" customHeight="false" outlineLevel="0" collapsed="false">
      <c r="A2" s="13" t="s">
        <v>125</v>
      </c>
      <c r="B2" s="13" t="s">
        <v>126</v>
      </c>
      <c r="C2" s="13" t="s">
        <v>127</v>
      </c>
      <c r="D2" s="13" t="s">
        <v>108</v>
      </c>
      <c r="E2" s="13"/>
      <c r="F2" s="13"/>
    </row>
    <row r="3" customFormat="false" ht="15" hidden="false" customHeight="false" outlineLevel="0" collapsed="false">
      <c r="A3" s="11"/>
      <c r="B3" s="11"/>
      <c r="C3" s="11"/>
      <c r="D3" s="11"/>
      <c r="E3" s="11"/>
      <c r="F3" s="11"/>
    </row>
    <row r="4" customFormat="false" ht="15" hidden="false" customHeight="false" outlineLevel="0" collapsed="false">
      <c r="A4" s="11"/>
      <c r="B4" s="11"/>
      <c r="C4" s="11"/>
      <c r="D4" s="11"/>
      <c r="E4" s="11"/>
      <c r="F4" s="11"/>
    </row>
    <row r="5" customFormat="false" ht="15" hidden="false" customHeight="false" outlineLevel="0" collapsed="false">
      <c r="A5" s="11"/>
      <c r="B5" s="11"/>
      <c r="C5" s="11"/>
      <c r="D5" s="11"/>
      <c r="E5" s="11"/>
      <c r="F5" s="11"/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</row>
  </sheetData>
  <dataValidations count="2">
    <dataValidation allowBlank="true" error="Administrador, Encargado o Vendedor" errorStyle="stop" errorTitle="Valor no válido" operator="between" showDropDown="false" showErrorMessage="true" showInputMessage="false" sqref="C2:C51" type="list">
      <formula1>"Administrador,Encargado,Vendedor"</formula1>
      <formula2>0</formula2>
    </dataValidation>
    <dataValidation allowBlank="true" error="Las Américas, Las Brisas o Ambas" errorStyle="stop" errorTitle="Valor no válido" operator="between" showDropDown="false" showErrorMessage="true" showInputMessage="false" sqref="D2:D51" type="list">
      <formula1>"Las Américas,Las Brisas,Ambas"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40"/>
  </cols>
  <sheetData>
    <row r="1" customFormat="false" ht="42" hidden="false" customHeight="true" outlineLevel="0" collapsed="false">
      <c r="A1" s="10" t="s">
        <v>62</v>
      </c>
      <c r="B1" s="10" t="s">
        <v>128</v>
      </c>
      <c r="C1" s="10" t="s">
        <v>129</v>
      </c>
      <c r="D1" s="10" t="s">
        <v>130</v>
      </c>
      <c r="E1" s="10" t="s">
        <v>131</v>
      </c>
      <c r="F1" s="10" t="s">
        <v>132</v>
      </c>
      <c r="G1" s="10" t="s">
        <v>133</v>
      </c>
      <c r="H1" s="10" t="s">
        <v>134</v>
      </c>
    </row>
    <row r="2" customFormat="false" ht="15" hidden="false" customHeight="false" outlineLevel="0" collapsed="false">
      <c r="A2" s="13" t="s">
        <v>135</v>
      </c>
      <c r="B2" s="13" t="s">
        <v>136</v>
      </c>
      <c r="C2" s="13" t="n">
        <v>10</v>
      </c>
      <c r="D2" s="13" t="n">
        <v>0</v>
      </c>
      <c r="E2" s="18"/>
      <c r="F2" s="18"/>
      <c r="G2" s="13" t="s">
        <v>137</v>
      </c>
      <c r="H2" s="13" t="s">
        <v>138</v>
      </c>
    </row>
    <row r="3" customFormat="false" ht="15" hidden="false" customHeight="false" outlineLevel="0" collapsed="false">
      <c r="A3" s="11"/>
      <c r="B3" s="11"/>
      <c r="C3" s="11"/>
      <c r="D3" s="11"/>
      <c r="E3" s="19"/>
      <c r="F3" s="19"/>
      <c r="G3" s="11"/>
      <c r="H3" s="11"/>
    </row>
    <row r="4" customFormat="false" ht="15" hidden="false" customHeight="false" outlineLevel="0" collapsed="false">
      <c r="A4" s="11"/>
      <c r="B4" s="11"/>
      <c r="C4" s="11"/>
      <c r="D4" s="11"/>
      <c r="E4" s="19"/>
      <c r="F4" s="19"/>
      <c r="G4" s="11"/>
      <c r="H4" s="11"/>
    </row>
    <row r="5" customFormat="false" ht="15" hidden="false" customHeight="false" outlineLevel="0" collapsed="false">
      <c r="A5" s="11"/>
      <c r="B5" s="11"/>
      <c r="C5" s="11"/>
      <c r="D5" s="11"/>
      <c r="E5" s="19"/>
      <c r="F5" s="19"/>
      <c r="G5" s="11"/>
      <c r="H5" s="11"/>
    </row>
    <row r="6" customFormat="false" ht="15" hidden="false" customHeight="false" outlineLevel="0" collapsed="false">
      <c r="A6" s="11"/>
      <c r="B6" s="11"/>
      <c r="C6" s="11"/>
      <c r="D6" s="11"/>
      <c r="E6" s="19"/>
      <c r="F6" s="19"/>
      <c r="G6" s="11"/>
      <c r="H6" s="11"/>
    </row>
    <row r="7" customFormat="false" ht="15" hidden="false" customHeight="false" outlineLevel="0" collapsed="false">
      <c r="A7" s="11"/>
      <c r="B7" s="11"/>
      <c r="C7" s="11"/>
      <c r="D7" s="11"/>
      <c r="E7" s="19"/>
      <c r="F7" s="19"/>
      <c r="G7" s="11"/>
      <c r="H7" s="11"/>
    </row>
    <row r="8" customFormat="false" ht="15" hidden="false" customHeight="false" outlineLevel="0" collapsed="false">
      <c r="A8" s="11"/>
      <c r="B8" s="11"/>
      <c r="C8" s="11"/>
      <c r="D8" s="11"/>
      <c r="E8" s="19"/>
      <c r="F8" s="19"/>
      <c r="G8" s="11"/>
      <c r="H8" s="11"/>
    </row>
    <row r="9" customFormat="false" ht="15" hidden="false" customHeight="false" outlineLevel="0" collapsed="false">
      <c r="A9" s="11"/>
      <c r="B9" s="11"/>
      <c r="C9" s="11"/>
      <c r="D9" s="11"/>
      <c r="E9" s="19"/>
      <c r="F9" s="19"/>
      <c r="G9" s="11"/>
      <c r="H9" s="11"/>
    </row>
    <row r="10" customFormat="false" ht="15" hidden="false" customHeight="false" outlineLevel="0" collapsed="false">
      <c r="A10" s="11"/>
      <c r="B10" s="11"/>
      <c r="C10" s="11"/>
      <c r="D10" s="11"/>
      <c r="E10" s="19"/>
      <c r="F10" s="19"/>
      <c r="G10" s="11"/>
      <c r="H10" s="11"/>
    </row>
    <row r="11" customFormat="false" ht="15" hidden="false" customHeight="false" outlineLevel="0" collapsed="false">
      <c r="A11" s="11"/>
      <c r="B11" s="11"/>
      <c r="C11" s="11"/>
      <c r="D11" s="11"/>
      <c r="E11" s="19"/>
      <c r="F11" s="19"/>
      <c r="G11" s="11"/>
      <c r="H11" s="11"/>
    </row>
    <row r="12" customFormat="false" ht="15" hidden="false" customHeight="false" outlineLevel="0" collapsed="false">
      <c r="A12" s="11"/>
      <c r="B12" s="11"/>
      <c r="C12" s="11"/>
      <c r="D12" s="11"/>
      <c r="E12" s="19"/>
      <c r="F12" s="19"/>
      <c r="G12" s="11"/>
      <c r="H12" s="11"/>
    </row>
    <row r="13" customFormat="false" ht="15" hidden="false" customHeight="false" outlineLevel="0" collapsed="false">
      <c r="A13" s="11"/>
      <c r="B13" s="11"/>
      <c r="C13" s="11"/>
      <c r="D13" s="11"/>
      <c r="E13" s="19"/>
      <c r="F13" s="19"/>
      <c r="G13" s="11"/>
      <c r="H13" s="11"/>
    </row>
    <row r="14" customFormat="false" ht="15" hidden="false" customHeight="false" outlineLevel="0" collapsed="false">
      <c r="A14" s="11"/>
      <c r="B14" s="11"/>
      <c r="C14" s="11"/>
      <c r="D14" s="11"/>
      <c r="E14" s="19"/>
      <c r="F14" s="19"/>
      <c r="G14" s="11"/>
      <c r="H14" s="11"/>
    </row>
    <row r="15" customFormat="false" ht="15" hidden="false" customHeight="false" outlineLevel="0" collapsed="false">
      <c r="A15" s="11"/>
      <c r="B15" s="11"/>
      <c r="C15" s="11"/>
      <c r="D15" s="11"/>
      <c r="E15" s="19"/>
      <c r="F15" s="19"/>
      <c r="G15" s="11"/>
      <c r="H15" s="11"/>
    </row>
    <row r="16" customFormat="false" ht="15" hidden="false" customHeight="false" outlineLevel="0" collapsed="false">
      <c r="A16" s="11"/>
      <c r="B16" s="11"/>
      <c r="C16" s="11"/>
      <c r="D16" s="11"/>
      <c r="E16" s="19"/>
      <c r="F16" s="19"/>
      <c r="G16" s="11"/>
      <c r="H16" s="11"/>
    </row>
    <row r="17" customFormat="false" ht="15" hidden="false" customHeight="false" outlineLevel="0" collapsed="false">
      <c r="A17" s="11"/>
      <c r="B17" s="11"/>
      <c r="C17" s="11"/>
      <c r="D17" s="11"/>
      <c r="E17" s="19"/>
      <c r="F17" s="19"/>
      <c r="G17" s="11"/>
      <c r="H17" s="11"/>
    </row>
    <row r="18" customFormat="false" ht="15" hidden="false" customHeight="false" outlineLevel="0" collapsed="false">
      <c r="A18" s="11"/>
      <c r="B18" s="11"/>
      <c r="C18" s="11"/>
      <c r="D18" s="11"/>
      <c r="E18" s="19"/>
      <c r="F18" s="19"/>
      <c r="G18" s="11"/>
      <c r="H18" s="11"/>
    </row>
    <row r="19" customFormat="false" ht="15" hidden="false" customHeight="false" outlineLevel="0" collapsed="false">
      <c r="A19" s="11"/>
      <c r="B19" s="11"/>
      <c r="C19" s="11"/>
      <c r="D19" s="11"/>
      <c r="E19" s="19"/>
      <c r="F19" s="19"/>
      <c r="G19" s="11"/>
      <c r="H19" s="11"/>
    </row>
    <row r="20" customFormat="false" ht="15" hidden="false" customHeight="false" outlineLevel="0" collapsed="false">
      <c r="A20" s="11"/>
      <c r="B20" s="11"/>
      <c r="C20" s="11"/>
      <c r="D20" s="11"/>
      <c r="E20" s="19"/>
      <c r="F20" s="19"/>
      <c r="G20" s="11"/>
      <c r="H20" s="11"/>
    </row>
    <row r="21" customFormat="false" ht="15" hidden="false" customHeight="false" outlineLevel="0" collapsed="false">
      <c r="A21" s="11"/>
      <c r="B21" s="11"/>
      <c r="C21" s="11"/>
      <c r="D21" s="11"/>
      <c r="E21" s="19"/>
      <c r="F21" s="19"/>
      <c r="G21" s="11"/>
      <c r="H21" s="11"/>
    </row>
    <row r="22" customFormat="false" ht="15" hidden="false" customHeight="false" outlineLevel="0" collapsed="false">
      <c r="A22" s="11"/>
      <c r="B22" s="11"/>
      <c r="C22" s="11"/>
      <c r="D22" s="11"/>
      <c r="E22" s="19"/>
      <c r="F22" s="19"/>
      <c r="G22" s="11"/>
      <c r="H22" s="11"/>
    </row>
    <row r="23" customFormat="false" ht="15" hidden="false" customHeight="false" outlineLevel="0" collapsed="false">
      <c r="A23" s="11"/>
      <c r="B23" s="11"/>
      <c r="C23" s="11"/>
      <c r="D23" s="11"/>
      <c r="E23" s="19"/>
      <c r="F23" s="19"/>
      <c r="G23" s="11"/>
      <c r="H23" s="11"/>
    </row>
    <row r="24" customFormat="false" ht="15" hidden="false" customHeight="false" outlineLevel="0" collapsed="false">
      <c r="A24" s="11"/>
      <c r="B24" s="11"/>
      <c r="C24" s="11"/>
      <c r="D24" s="11"/>
      <c r="E24" s="19"/>
      <c r="F24" s="19"/>
      <c r="G24" s="11"/>
      <c r="H24" s="11"/>
    </row>
    <row r="25" customFormat="false" ht="15" hidden="false" customHeight="false" outlineLevel="0" collapsed="false">
      <c r="A25" s="11"/>
      <c r="B25" s="11"/>
      <c r="C25" s="11"/>
      <c r="D25" s="11"/>
      <c r="E25" s="19"/>
      <c r="F25" s="19"/>
      <c r="G25" s="11"/>
      <c r="H25" s="11"/>
    </row>
    <row r="26" customFormat="false" ht="15" hidden="false" customHeight="false" outlineLevel="0" collapsed="false">
      <c r="A26" s="11"/>
      <c r="B26" s="11"/>
      <c r="C26" s="11"/>
      <c r="D26" s="11"/>
      <c r="E26" s="19"/>
      <c r="F26" s="19"/>
      <c r="G26" s="11"/>
      <c r="H26" s="11"/>
    </row>
    <row r="27" customFormat="false" ht="15" hidden="false" customHeight="false" outlineLevel="0" collapsed="false">
      <c r="A27" s="11"/>
      <c r="B27" s="11"/>
      <c r="C27" s="11"/>
      <c r="D27" s="11"/>
      <c r="E27" s="19"/>
      <c r="F27" s="19"/>
      <c r="G27" s="11"/>
      <c r="H27" s="11"/>
    </row>
    <row r="28" customFormat="false" ht="15" hidden="false" customHeight="false" outlineLevel="0" collapsed="false">
      <c r="A28" s="11"/>
      <c r="B28" s="11"/>
      <c r="C28" s="11"/>
      <c r="D28" s="11"/>
      <c r="E28" s="19"/>
      <c r="F28" s="19"/>
      <c r="G28" s="11"/>
      <c r="H28" s="11"/>
    </row>
    <row r="29" customFormat="false" ht="15" hidden="false" customHeight="false" outlineLevel="0" collapsed="false">
      <c r="A29" s="11"/>
      <c r="B29" s="11"/>
      <c r="C29" s="11"/>
      <c r="D29" s="11"/>
      <c r="E29" s="19"/>
      <c r="F29" s="19"/>
      <c r="G29" s="11"/>
      <c r="H29" s="11"/>
    </row>
    <row r="30" customFormat="false" ht="15" hidden="false" customHeight="false" outlineLevel="0" collapsed="false">
      <c r="A30" s="11"/>
      <c r="B30" s="11"/>
      <c r="C30" s="11"/>
      <c r="D30" s="11"/>
      <c r="E30" s="19"/>
      <c r="F30" s="19"/>
      <c r="G30" s="11"/>
      <c r="H30" s="11"/>
    </row>
    <row r="31" customFormat="false" ht="15" hidden="false" customHeight="false" outlineLevel="0" collapsed="false">
      <c r="A31" s="11"/>
      <c r="B31" s="11"/>
      <c r="C31" s="11"/>
      <c r="D31" s="11"/>
      <c r="E31" s="19"/>
      <c r="F31" s="19"/>
      <c r="G31" s="11"/>
      <c r="H31" s="11"/>
    </row>
    <row r="32" customFormat="false" ht="15" hidden="false" customHeight="false" outlineLevel="0" collapsed="false">
      <c r="A32" s="11"/>
      <c r="B32" s="11"/>
      <c r="C32" s="11"/>
      <c r="D32" s="11"/>
      <c r="E32" s="19"/>
      <c r="F32" s="19"/>
      <c r="G32" s="11"/>
      <c r="H32" s="11"/>
    </row>
    <row r="33" customFormat="false" ht="15" hidden="false" customHeight="false" outlineLevel="0" collapsed="false">
      <c r="A33" s="11"/>
      <c r="B33" s="11"/>
      <c r="C33" s="11"/>
      <c r="D33" s="11"/>
      <c r="E33" s="19"/>
      <c r="F33" s="19"/>
      <c r="G33" s="11"/>
      <c r="H33" s="11"/>
    </row>
    <row r="34" customFormat="false" ht="15" hidden="false" customHeight="false" outlineLevel="0" collapsed="false">
      <c r="A34" s="11"/>
      <c r="B34" s="11"/>
      <c r="C34" s="11"/>
      <c r="D34" s="11"/>
      <c r="E34" s="19"/>
      <c r="F34" s="19"/>
      <c r="G34" s="11"/>
      <c r="H34" s="11"/>
    </row>
    <row r="35" customFormat="false" ht="15" hidden="false" customHeight="false" outlineLevel="0" collapsed="false">
      <c r="A35" s="11"/>
      <c r="B35" s="11"/>
      <c r="C35" s="11"/>
      <c r="D35" s="11"/>
      <c r="E35" s="19"/>
      <c r="F35" s="19"/>
      <c r="G35" s="11"/>
      <c r="H35" s="11"/>
    </row>
    <row r="36" customFormat="false" ht="15" hidden="false" customHeight="false" outlineLevel="0" collapsed="false">
      <c r="A36" s="11"/>
      <c r="B36" s="11"/>
      <c r="C36" s="11"/>
      <c r="D36" s="11"/>
      <c r="E36" s="19"/>
      <c r="F36" s="19"/>
      <c r="G36" s="11"/>
      <c r="H36" s="11"/>
    </row>
    <row r="37" customFormat="false" ht="15" hidden="false" customHeight="false" outlineLevel="0" collapsed="false">
      <c r="A37" s="11"/>
      <c r="B37" s="11"/>
      <c r="C37" s="11"/>
      <c r="D37" s="11"/>
      <c r="E37" s="19"/>
      <c r="F37" s="19"/>
      <c r="G37" s="11"/>
      <c r="H37" s="11"/>
    </row>
    <row r="38" customFormat="false" ht="15" hidden="false" customHeight="false" outlineLevel="0" collapsed="false">
      <c r="A38" s="11"/>
      <c r="B38" s="11"/>
      <c r="C38" s="11"/>
      <c r="D38" s="11"/>
      <c r="E38" s="19"/>
      <c r="F38" s="19"/>
      <c r="G38" s="11"/>
      <c r="H38" s="11"/>
    </row>
    <row r="39" customFormat="false" ht="15" hidden="false" customHeight="false" outlineLevel="0" collapsed="false">
      <c r="A39" s="11"/>
      <c r="B39" s="11"/>
      <c r="C39" s="11"/>
      <c r="D39" s="11"/>
      <c r="E39" s="19"/>
      <c r="F39" s="19"/>
      <c r="G39" s="11"/>
      <c r="H39" s="11"/>
    </row>
    <row r="40" customFormat="false" ht="15" hidden="false" customHeight="false" outlineLevel="0" collapsed="false">
      <c r="A40" s="11"/>
      <c r="B40" s="11"/>
      <c r="C40" s="11"/>
      <c r="D40" s="11"/>
      <c r="E40" s="19"/>
      <c r="F40" s="19"/>
      <c r="G40" s="11"/>
      <c r="H40" s="11"/>
    </row>
    <row r="41" customFormat="false" ht="15" hidden="false" customHeight="false" outlineLevel="0" collapsed="false">
      <c r="A41" s="11"/>
      <c r="B41" s="11"/>
      <c r="C41" s="11"/>
      <c r="D41" s="11"/>
      <c r="E41" s="19"/>
      <c r="F41" s="19"/>
      <c r="G41" s="11"/>
      <c r="H41" s="11"/>
    </row>
    <row r="42" customFormat="false" ht="15" hidden="false" customHeight="false" outlineLevel="0" collapsed="false">
      <c r="A42" s="11"/>
      <c r="B42" s="11"/>
      <c r="C42" s="11"/>
      <c r="D42" s="11"/>
      <c r="E42" s="19"/>
      <c r="F42" s="19"/>
      <c r="G42" s="11"/>
      <c r="H42" s="11"/>
    </row>
    <row r="43" customFormat="false" ht="15" hidden="false" customHeight="false" outlineLevel="0" collapsed="false">
      <c r="A43" s="11"/>
      <c r="B43" s="11"/>
      <c r="C43" s="11"/>
      <c r="D43" s="11"/>
      <c r="E43" s="19"/>
      <c r="F43" s="19"/>
      <c r="G43" s="11"/>
      <c r="H43" s="11"/>
    </row>
    <row r="44" customFormat="false" ht="15" hidden="false" customHeight="false" outlineLevel="0" collapsed="false">
      <c r="A44" s="11"/>
      <c r="B44" s="11"/>
      <c r="C44" s="11"/>
      <c r="D44" s="11"/>
      <c r="E44" s="19"/>
      <c r="F44" s="19"/>
      <c r="G44" s="11"/>
      <c r="H44" s="11"/>
    </row>
    <row r="45" customFormat="false" ht="15" hidden="false" customHeight="false" outlineLevel="0" collapsed="false">
      <c r="A45" s="11"/>
      <c r="B45" s="11"/>
      <c r="C45" s="11"/>
      <c r="D45" s="11"/>
      <c r="E45" s="19"/>
      <c r="F45" s="19"/>
      <c r="G45" s="11"/>
      <c r="H45" s="11"/>
    </row>
    <row r="46" customFormat="false" ht="15" hidden="false" customHeight="false" outlineLevel="0" collapsed="false">
      <c r="A46" s="11"/>
      <c r="B46" s="11"/>
      <c r="C46" s="11"/>
      <c r="D46" s="11"/>
      <c r="E46" s="19"/>
      <c r="F46" s="19"/>
      <c r="G46" s="11"/>
      <c r="H46" s="11"/>
    </row>
    <row r="47" customFormat="false" ht="15" hidden="false" customHeight="false" outlineLevel="0" collapsed="false">
      <c r="A47" s="11"/>
      <c r="B47" s="11"/>
      <c r="C47" s="11"/>
      <c r="D47" s="11"/>
      <c r="E47" s="19"/>
      <c r="F47" s="19"/>
      <c r="G47" s="11"/>
      <c r="H47" s="11"/>
    </row>
    <row r="48" customFormat="false" ht="15" hidden="false" customHeight="false" outlineLevel="0" collapsed="false">
      <c r="A48" s="11"/>
      <c r="B48" s="11"/>
      <c r="C48" s="11"/>
      <c r="D48" s="11"/>
      <c r="E48" s="19"/>
      <c r="F48" s="19"/>
      <c r="G48" s="11"/>
      <c r="H48" s="11"/>
    </row>
    <row r="49" customFormat="false" ht="15" hidden="false" customHeight="false" outlineLevel="0" collapsed="false">
      <c r="A49" s="11"/>
      <c r="B49" s="11"/>
      <c r="C49" s="11"/>
      <c r="D49" s="11"/>
      <c r="E49" s="19"/>
      <c r="F49" s="19"/>
      <c r="G49" s="11"/>
      <c r="H49" s="11"/>
    </row>
    <row r="50" customFormat="false" ht="15" hidden="false" customHeight="false" outlineLevel="0" collapsed="false">
      <c r="A50" s="11"/>
      <c r="B50" s="11"/>
      <c r="C50" s="11"/>
      <c r="D50" s="11"/>
      <c r="E50" s="19"/>
      <c r="F50" s="19"/>
      <c r="G50" s="11"/>
      <c r="H50" s="11"/>
    </row>
    <row r="51" customFormat="false" ht="15" hidden="false" customHeight="false" outlineLevel="0" collapsed="false">
      <c r="A51" s="11"/>
      <c r="B51" s="11"/>
      <c r="C51" s="11"/>
      <c r="D51" s="11"/>
      <c r="E51" s="19"/>
      <c r="F51" s="19"/>
      <c r="G51" s="11"/>
      <c r="H51" s="11"/>
    </row>
  </sheetData>
  <dataValidations count="2">
    <dataValidation allowBlank="true" error="PORCENTAJE o MONTO" errorStyle="stop" errorTitle="Valor no válido" operator="between" showDropDown="false" showErrorMessage="true" showInputMessage="false" sqref="B2:B51" type="list">
      <formula1>"PORCENTAJE,MONTO"</formula1>
      <formula2>0</formula2>
    </dataValidation>
    <dataValidation allowBlank="true" error="Sí o No" errorStyle="stop" errorTitle="Valor no válido" operator="between" showDropDown="false" showErrorMessage="true" showInputMessage="false" sqref="G2:G51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6"/>
    <col collapsed="false" customWidth="true" hidden="false" outlineLevel="0" max="4" min="3" style="0" width="14"/>
  </cols>
  <sheetData>
    <row r="2" customFormat="false" ht="17.35" hidden="false" customHeight="false" outlineLevel="0" collapsed="false">
      <c r="B2" s="20" t="s">
        <v>139</v>
      </c>
    </row>
    <row r="3" customFormat="false" ht="15" hidden="false" customHeight="false" outlineLevel="0" collapsed="false">
      <c r="B3" s="2" t="s">
        <v>140</v>
      </c>
    </row>
    <row r="5" customFormat="false" ht="15" hidden="false" customHeight="false" outlineLevel="0" collapsed="false">
      <c r="B5" s="21" t="s">
        <v>141</v>
      </c>
      <c r="C5" s="21" t="s">
        <v>142</v>
      </c>
      <c r="D5" s="21" t="s">
        <v>79</v>
      </c>
    </row>
    <row r="6" customFormat="false" ht="15" hidden="false" customHeight="false" outlineLevel="0" collapsed="false">
      <c r="B6" s="22" t="s">
        <v>143</v>
      </c>
      <c r="C6" s="23" t="n">
        <f aca="false">SUMPRODUCT((Productos!$A$2:$A$1001&lt;&gt;"")*(COUNTIF(Productos!$A$2:$A$1001,Productos!$A$2:$A$1001)&gt;1))</f>
        <v>0</v>
      </c>
      <c r="D6" s="24" t="str">
        <f aca="false">IF(C6=0,"OK","Revisar")</f>
        <v>OK</v>
      </c>
    </row>
    <row r="7" customFormat="false" ht="15" hidden="false" customHeight="false" outlineLevel="0" collapsed="false">
      <c r="B7" s="22" t="s">
        <v>144</v>
      </c>
      <c r="C7" s="23" t="n">
        <f aca="false">COUNTIFS(Productos!$A$2:$A$1001,"&lt;&gt;",Productos!$C$2:$C$1001,"")</f>
        <v>0</v>
      </c>
      <c r="D7" s="24" t="str">
        <f aca="false">IF(C7=0,"OK","Revisar")</f>
        <v>OK</v>
      </c>
    </row>
    <row r="8" customFormat="false" ht="15" hidden="false" customHeight="false" outlineLevel="0" collapsed="false">
      <c r="B8" s="22" t="s">
        <v>145</v>
      </c>
      <c r="C8" s="23" t="n">
        <f aca="false">COUNTIFS(Productos!$A$2:$A$1001,"&lt;&gt;",Productos!$J$2:$J$1001,"")</f>
        <v>0</v>
      </c>
      <c r="D8" s="24" t="str">
        <f aca="false">IF(C8=0,"OK","Revisar")</f>
        <v>OK</v>
      </c>
    </row>
    <row r="9" customFormat="false" ht="15" hidden="false" customHeight="false" outlineLevel="0" collapsed="false">
      <c r="B9" s="22" t="s">
        <v>146</v>
      </c>
      <c r="C9" s="23" t="n">
        <f aca="false">COUNTIFS(Productos!$A$2:$A$1001,"&lt;&gt;",Productos!$C$2:$C$1001,"Piercing*",Productos!$I$2:$I$1001,"")</f>
        <v>0</v>
      </c>
      <c r="D9" s="24" t="str">
        <f aca="false">IF(C9=0,"OK","Revisar")</f>
        <v>OK</v>
      </c>
    </row>
    <row r="10" customFormat="false" ht="15" hidden="false" customHeight="false" outlineLevel="0" collapsed="false">
      <c r="B10" s="22" t="s">
        <v>147</v>
      </c>
      <c r="C10" s="23" t="n">
        <f aca="false">COUNTIFS(Productos!$N$2:$N$1001,"&lt;0.4")</f>
        <v>0</v>
      </c>
      <c r="D10" s="24" t="str">
        <f aca="false">IF(C10=0,"OK","Revisar")</f>
        <v>OK</v>
      </c>
    </row>
    <row r="11" customFormat="false" ht="15" hidden="false" customHeight="false" outlineLevel="0" collapsed="false">
      <c r="B11" s="22" t="s">
        <v>148</v>
      </c>
      <c r="C11" s="23" t="n">
        <f aca="false">COUNTIF(InventarioInicial!$B$2:$B$1001,"SKU no existe*")</f>
        <v>0</v>
      </c>
      <c r="D11" s="24" t="str">
        <f aca="false">IF(C11=0,"OK","Revisar")</f>
        <v>OK</v>
      </c>
    </row>
    <row r="12" customFormat="false" ht="15" hidden="false" customHeight="false" outlineLevel="0" collapsed="false">
      <c r="B12" s="22" t="s">
        <v>149</v>
      </c>
      <c r="C12" s="23" t="n">
        <f aca="false">COUNTIF(PreciosPaquete!$G$2:$G$61,"Falta*")</f>
        <v>0</v>
      </c>
      <c r="D12" s="24" t="str">
        <f aca="false">IF(C12=0,"OK","Revisar")</f>
        <v>OK</v>
      </c>
    </row>
    <row r="13" customFormat="false" ht="15" hidden="false" customHeight="false" outlineLevel="0" collapsed="false">
      <c r="B13" s="22" t="s">
        <v>150</v>
      </c>
      <c r="C13" s="23" t="n">
        <f aca="false">SUMPRODUCT((Perforaciones!$A$2:$A$61&lt;&gt;"")*(COUNTIF(Perforaciones!$A$2:$A$61,Perforaciones!$A$2:$A$61)&gt;1))</f>
        <v>0</v>
      </c>
      <c r="D13" s="24" t="str">
        <f aca="false">IF(C13=0,"OK","Revisar")</f>
        <v>OK</v>
      </c>
    </row>
    <row r="14" customFormat="false" ht="15" hidden="false" customHeight="false" outlineLevel="0" collapsed="false">
      <c r="B14" s="22" t="s">
        <v>151</v>
      </c>
      <c r="C14" s="23" t="n">
        <f aca="false">SUMPRODUCT((Usuarios!$B$2:$B$51&lt;&gt;"")*(COUNTIF(Usuarios!$B$2:$B$51,Usuarios!$B$2:$B$51)&gt;1))</f>
        <v>0</v>
      </c>
      <c r="D14" s="24" t="str">
        <f aca="false">IF(C14=0,"OK","Revisar")</f>
        <v>OK</v>
      </c>
    </row>
    <row r="15" customFormat="false" ht="15" hidden="false" customHeight="false" outlineLevel="0" collapsed="false">
      <c r="B15" s="22" t="s">
        <v>152</v>
      </c>
      <c r="C15" s="23" t="n">
        <f aca="false">COUNTA(Productos!$A$2:$A$1001)</f>
        <v>1</v>
      </c>
      <c r="D15" s="25"/>
    </row>
    <row r="16" customFormat="false" ht="15" hidden="false" customHeight="false" outlineLevel="0" collapsed="false">
      <c r="B16" s="22" t="s">
        <v>153</v>
      </c>
      <c r="C16" s="23" t="n">
        <f aca="false">COUNTA(Perforaciones!$A$2:$A$61)</f>
        <v>1</v>
      </c>
      <c r="D16" s="25"/>
    </row>
    <row r="17" customFormat="false" ht="15" hidden="false" customHeight="false" outlineLevel="0" collapsed="false">
      <c r="B17" s="22" t="s">
        <v>154</v>
      </c>
      <c r="C17" s="23" t="n">
        <f aca="false">SUM(InventarioInicial!$C$2:$E$1001)</f>
        <v>40</v>
      </c>
      <c r="D17" s="25"/>
    </row>
    <row r="18" customFormat="false" ht="15" hidden="false" customHeight="false" outlineLevel="0" collapsed="false">
      <c r="B18" s="22" t="s">
        <v>155</v>
      </c>
      <c r="C18" s="26" t="n">
        <f aca="false">SUM(InventarioInicial!$H$2:$H$1001)</f>
        <v>8800</v>
      </c>
      <c r="D18" s="25"/>
    </row>
    <row r="20" customFormat="false" ht="15" hidden="false" customHeight="false" outlineLevel="0" collapsed="false">
      <c r="B20" s="27" t="s">
        <v>156</v>
      </c>
    </row>
  </sheetData>
  <conditionalFormatting sqref="D6:D30">
    <cfRule type="cellIs" priority="2" operator="equal" aboveAverage="0" equalAverage="0" bottom="0" percent="0" rank="0" text="" dxfId="0">
      <formula>"Revisar"</formula>
    </cfRule>
    <cfRule type="cellIs" priority="3" operator="equal" aboveAverage="0" equalAverage="0" bottom="0" percent="0" rank="0" text="" dxfId="1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2026-10-01T13:40:12Z</dcterms:created>
  <dc:creator>openpyxl</dc:creator>
  <dc:description/>
  <dc:language>en-US</dc:language>
  <cp:lastModifiedBy/>
  <dcterms:modified xsi:type="dcterms:W3CDTF">2026-10-01T13:40:13Z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